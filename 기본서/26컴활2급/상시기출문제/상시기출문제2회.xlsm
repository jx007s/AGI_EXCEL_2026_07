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public\mbc\agi_excel_2026_07\public\기본서\26컴활2급\상시기출문제\"/>
    </mc:Choice>
  </mc:AlternateContent>
  <xr:revisionPtr revIDLastSave="0" documentId="13_ncr:1_{3BEEBB7D-1C2B-4399-B971-552F16968638}" xr6:coauthVersionLast="47" xr6:coauthVersionMax="47" xr10:uidLastSave="{00000000-0000-0000-0000-000000000000}"/>
  <bookViews>
    <workbookView xWindow="22932" yWindow="-108" windowWidth="23256" windowHeight="12576" tabRatio="899" activeTab="3" xr2:uid="{925A5ADD-9389-43EC-B0B6-4A00A02F06B1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8" r:id="rId6"/>
    <sheet name="매크로작업" sheetId="6" r:id="rId7"/>
    <sheet name="차트작업" sheetId="10" r:id="rId8"/>
  </sheets>
  <definedNames>
    <definedName name="_xlnm._FilterDatabase" localSheetId="2" hidden="1">'기본작업-3'!$A$3:$H$18</definedName>
    <definedName name="_xlnm.Criteria" localSheetId="2">'기본작업-3'!$A$20:$B$21</definedName>
    <definedName name="_xlnm.Extract" localSheetId="2">'기본작업-3'!$A$24:$F$24</definedName>
    <definedName name="배점">'기본작업-2'!#REF!</definedName>
    <definedName name="제품명">'기본작업-2'!#REF!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4" i="4" l="1"/>
  <c r="L5" i="4"/>
  <c r="L6" i="4"/>
  <c r="L7" i="4"/>
  <c r="L8" i="4"/>
  <c r="L9" i="4"/>
  <c r="L10" i="4"/>
  <c r="L3" i="4"/>
  <c r="E12" i="4"/>
  <c r="E5" i="4"/>
  <c r="E4" i="4"/>
  <c r="E3" i="4"/>
</calcChain>
</file>

<file path=xl/sharedStrings.xml><?xml version="1.0" encoding="utf-8"?>
<sst xmlns="http://schemas.openxmlformats.org/spreadsheetml/2006/main" count="321" uniqueCount="180">
  <si>
    <t>[표2]</t>
    <phoneticPr fontId="2" type="noConversion"/>
  </si>
  <si>
    <t>[표4]</t>
    <phoneticPr fontId="2" type="noConversion"/>
  </si>
  <si>
    <t>[표5]</t>
    <phoneticPr fontId="2" type="noConversion"/>
  </si>
  <si>
    <t>지역</t>
  </si>
  <si>
    <t>날짜</t>
  </si>
  <si>
    <t>서울</t>
  </si>
  <si>
    <t>부산</t>
  </si>
  <si>
    <t>대전</t>
  </si>
  <si>
    <t>대구</t>
  </si>
  <si>
    <t>인천</t>
  </si>
  <si>
    <t>광주</t>
  </si>
  <si>
    <t>울산</t>
  </si>
  <si>
    <t>수원</t>
  </si>
  <si>
    <t>강릉</t>
  </si>
  <si>
    <t>제주</t>
  </si>
  <si>
    <t>여수</t>
  </si>
  <si>
    <t>창원</t>
  </si>
  <si>
    <t>원주</t>
  </si>
  <si>
    <t>평택</t>
  </si>
  <si>
    <t>청주</t>
  </si>
  <si>
    <t>기상 데이터 관리</t>
    <phoneticPr fontId="2" type="noConversion"/>
  </si>
  <si>
    <t>[표1]</t>
    <phoneticPr fontId="2" type="noConversion"/>
  </si>
  <si>
    <t>풍속(m/s)</t>
    <phoneticPr fontId="2" type="noConversion"/>
  </si>
  <si>
    <t>[표3]</t>
    <phoneticPr fontId="2" type="noConversion"/>
  </si>
  <si>
    <t>나이</t>
    <phoneticPr fontId="2" type="noConversion"/>
  </si>
  <si>
    <t>고객명</t>
  </si>
  <si>
    <t>지역코드</t>
  </si>
  <si>
    <t>지역명</t>
  </si>
  <si>
    <t>실업률(%)</t>
  </si>
  <si>
    <t>EC-1001</t>
  </si>
  <si>
    <t>EC-1002</t>
  </si>
  <si>
    <t>EC-1003</t>
  </si>
  <si>
    <t>EC-1004</t>
  </si>
  <si>
    <t>EC-1005</t>
  </si>
  <si>
    <t>EC-1006</t>
  </si>
  <si>
    <t>EC-1007</t>
  </si>
  <si>
    <t>EC-1008</t>
  </si>
  <si>
    <t>EC-1009</t>
  </si>
  <si>
    <t>EC-1010</t>
  </si>
  <si>
    <t>전주</t>
  </si>
  <si>
    <t>EC-1011</t>
  </si>
  <si>
    <t>EC-1012</t>
  </si>
  <si>
    <t>출판 연도별 대여 횟수</t>
    <phoneticPr fontId="2" type="noConversion"/>
  </si>
  <si>
    <t>지역별 경제 지표 데이터</t>
    <phoneticPr fontId="2" type="noConversion"/>
  </si>
  <si>
    <t>GDP</t>
    <phoneticPr fontId="2" type="noConversion"/>
  </si>
  <si>
    <t>지역</t>
    <phoneticPr fontId="2" type="noConversion"/>
  </si>
  <si>
    <t>지수</t>
    <phoneticPr fontId="2" type="noConversion"/>
  </si>
  <si>
    <t>소비자물가</t>
    <phoneticPr fontId="2" type="noConversion"/>
  </si>
  <si>
    <t>주택가격</t>
    <phoneticPr fontId="2" type="noConversion"/>
  </si>
  <si>
    <t>자영업</t>
    <phoneticPr fontId="2" type="noConversion"/>
  </si>
  <si>
    <t>경제활동참가</t>
    <phoneticPr fontId="2" type="noConversion"/>
  </si>
  <si>
    <t>기온(°C)</t>
    <phoneticPr fontId="2" type="noConversion"/>
  </si>
  <si>
    <t>습도(%)</t>
    <phoneticPr fontId="2" type="noConversion"/>
  </si>
  <si>
    <t>기압(hPa)</t>
    <phoneticPr fontId="2" type="noConversion"/>
  </si>
  <si>
    <t>강수량(mm)</t>
    <phoneticPr fontId="2" type="noConversion"/>
  </si>
  <si>
    <t>일출간</t>
    <phoneticPr fontId="2" type="noConversion"/>
  </si>
  <si>
    <t>일몰시간</t>
    <phoneticPr fontId="2" type="noConversion"/>
  </si>
  <si>
    <t>매체</t>
    <phoneticPr fontId="2" type="noConversion"/>
  </si>
  <si>
    <t>국내영화</t>
  </si>
  <si>
    <t>국외영화</t>
  </si>
  <si>
    <t>공연실황</t>
  </si>
  <si>
    <t>극영화</t>
  </si>
  <si>
    <t>실험영화</t>
  </si>
  <si>
    <t>다큐멘터리</t>
  </si>
  <si>
    <t>단편영화</t>
  </si>
  <si>
    <t>애니메이션</t>
  </si>
  <si>
    <t>문화영화</t>
  </si>
  <si>
    <t>종별</t>
    <phoneticPr fontId="2" type="noConversion"/>
  </si>
  <si>
    <t>전체관람가</t>
  </si>
  <si>
    <t>12세이상</t>
    <phoneticPr fontId="2" type="noConversion"/>
  </si>
  <si>
    <t>15세이상</t>
    <phoneticPr fontId="2" type="noConversion"/>
  </si>
  <si>
    <t>청소년관람불가</t>
    <phoneticPr fontId="2" type="noConversion"/>
  </si>
  <si>
    <t>소계</t>
    <phoneticPr fontId="2" type="noConversion"/>
  </si>
  <si>
    <t>영화 등급별 현황</t>
    <phoneticPr fontId="2" type="noConversion"/>
  </si>
  <si>
    <t>김민수</t>
  </si>
  <si>
    <t>공복혈당 (mg/dL)</t>
    <phoneticPr fontId="2" type="noConversion"/>
  </si>
  <si>
    <t>식후1시간혈당(mg/dL)</t>
    <phoneticPr fontId="2" type="noConversion"/>
  </si>
  <si>
    <t>식후2시간혈당(mg/dL)</t>
    <phoneticPr fontId="2" type="noConversion"/>
  </si>
  <si>
    <t>수축기혈압 (mmHg)</t>
    <phoneticPr fontId="2" type="noConversion"/>
  </si>
  <si>
    <t>이완기혈압 (mmHg)</t>
    <phoneticPr fontId="2" type="noConversion"/>
  </si>
  <si>
    <t>김민기 혈당 및 혈압 관리</t>
    <phoneticPr fontId="2" type="noConversion"/>
  </si>
  <si>
    <t>이름</t>
    <phoneticPr fontId="2" type="noConversion"/>
  </si>
  <si>
    <t>김민수</t>
    <phoneticPr fontId="2" type="noConversion"/>
  </si>
  <si>
    <t>이지은</t>
    <phoneticPr fontId="2" type="noConversion"/>
  </si>
  <si>
    <t>박서준</t>
    <phoneticPr fontId="2" type="noConversion"/>
  </si>
  <si>
    <t>최지혜</t>
    <phoneticPr fontId="2" type="noConversion"/>
  </si>
  <si>
    <t>최민호</t>
    <phoneticPr fontId="2" type="noConversion"/>
  </si>
  <si>
    <t>강유진</t>
    <phoneticPr fontId="2" type="noConversion"/>
  </si>
  <si>
    <t>김수연</t>
    <phoneticPr fontId="2" type="noConversion"/>
  </si>
  <si>
    <t>식후1시간혈당</t>
    <phoneticPr fontId="2" type="noConversion"/>
  </si>
  <si>
    <t>진단</t>
    <phoneticPr fontId="2" type="noConversion"/>
  </si>
  <si>
    <t>혈압</t>
    <phoneticPr fontId="2" type="noConversion"/>
  </si>
  <si>
    <t>고혈당</t>
    <phoneticPr fontId="2" type="noConversion"/>
  </si>
  <si>
    <t>관리</t>
    <phoneticPr fontId="2" type="noConversion"/>
  </si>
  <si>
    <t>평균 혈압</t>
    <phoneticPr fontId="2" type="noConversion"/>
  </si>
  <si>
    <t>작물명</t>
    <phoneticPr fontId="2" type="noConversion"/>
  </si>
  <si>
    <t>품종명칭</t>
    <phoneticPr fontId="2" type="noConversion"/>
  </si>
  <si>
    <t>밤나무</t>
    <phoneticPr fontId="2" type="noConversion"/>
  </si>
  <si>
    <t>백운풀</t>
    <phoneticPr fontId="2" type="noConversion"/>
  </si>
  <si>
    <t>표고</t>
    <phoneticPr fontId="2" type="noConversion"/>
  </si>
  <si>
    <t>감나무</t>
    <phoneticPr fontId="2" type="noConversion"/>
  </si>
  <si>
    <t>황해쑥</t>
    <phoneticPr fontId="2" type="noConversion"/>
  </si>
  <si>
    <t>기린초</t>
    <phoneticPr fontId="2" type="noConversion"/>
  </si>
  <si>
    <t>벌개미취</t>
    <phoneticPr fontId="2" type="noConversion"/>
  </si>
  <si>
    <t>산과수</t>
    <phoneticPr fontId="2" type="noConversion"/>
  </si>
  <si>
    <t>특용</t>
    <phoneticPr fontId="2" type="noConversion"/>
  </si>
  <si>
    <t>버섯류</t>
    <phoneticPr fontId="2" type="noConversion"/>
  </si>
  <si>
    <t>야생화</t>
    <phoneticPr fontId="2" type="noConversion"/>
  </si>
  <si>
    <t>곰솔</t>
    <phoneticPr fontId="2" type="noConversion"/>
  </si>
  <si>
    <t>조경수</t>
    <phoneticPr fontId="2" type="noConversion"/>
  </si>
  <si>
    <t>코드</t>
    <phoneticPr fontId="2" type="noConversion"/>
  </si>
  <si>
    <t>날짜</t>
    <phoneticPr fontId="2" type="noConversion"/>
  </si>
  <si>
    <t>예금액</t>
    <phoneticPr fontId="2" type="noConversion"/>
  </si>
  <si>
    <t>예금 종류</t>
  </si>
  <si>
    <t>이수정</t>
  </si>
  <si>
    <t>박지훈</t>
  </si>
  <si>
    <t>최영수</t>
  </si>
  <si>
    <t>한지원</t>
  </si>
  <si>
    <t>윤다은</t>
  </si>
  <si>
    <t>정우진</t>
  </si>
  <si>
    <t>오세진</t>
  </si>
  <si>
    <t>예금 상품</t>
  </si>
  <si>
    <t>연이율(%)</t>
  </si>
  <si>
    <t>이자</t>
    <phoneticPr fontId="2" type="noConversion"/>
  </si>
  <si>
    <t>홍수지</t>
    <phoneticPr fontId="2" type="noConversion"/>
  </si>
  <si>
    <t>등급</t>
  </si>
  <si>
    <t>확통</t>
    <phoneticPr fontId="2" type="noConversion"/>
  </si>
  <si>
    <t>미적</t>
    <phoneticPr fontId="2" type="noConversion"/>
  </si>
  <si>
    <t>기하</t>
    <phoneticPr fontId="2" type="noConversion"/>
  </si>
  <si>
    <t>번호</t>
    <phoneticPr fontId="2" type="noConversion"/>
  </si>
  <si>
    <t>기하의 평균</t>
    <phoneticPr fontId="2" type="noConversion"/>
  </si>
  <si>
    <t>폐기물 종류</t>
  </si>
  <si>
    <t>일반</t>
  </si>
  <si>
    <t>음식물</t>
  </si>
  <si>
    <t>재활용</t>
  </si>
  <si>
    <t>특수</t>
  </si>
  <si>
    <t>국가</t>
  </si>
  <si>
    <t>한국</t>
  </si>
  <si>
    <t>미국</t>
  </si>
  <si>
    <t>GDP 성장률</t>
  </si>
  <si>
    <t>실업률</t>
  </si>
  <si>
    <t>물가 상승률</t>
  </si>
  <si>
    <t>세목명</t>
  </si>
  <si>
    <t>미환급유형</t>
  </si>
  <si>
    <t>납세자유형</t>
  </si>
  <si>
    <t>누적미환급건수</t>
  </si>
  <si>
    <t>누적미환급금액</t>
  </si>
  <si>
    <t>자동차세</t>
  </si>
  <si>
    <t>신규</t>
  </si>
  <si>
    <t>개인</t>
  </si>
  <si>
    <t>법인</t>
  </si>
  <si>
    <t>재산세</t>
  </si>
  <si>
    <t>지방소득세</t>
  </si>
  <si>
    <t>등록면허세</t>
  </si>
  <si>
    <t>주민세</t>
  </si>
  <si>
    <t>취득세</t>
  </si>
  <si>
    <t>담배소비세</t>
  </si>
  <si>
    <t>송달분 미수령</t>
  </si>
  <si>
    <t>미환급건수</t>
    <phoneticPr fontId="2" type="noConversion"/>
  </si>
  <si>
    <t>미환급금액</t>
    <phoneticPr fontId="2" type="noConversion"/>
  </si>
  <si>
    <t>세목별 미납현황</t>
    <phoneticPr fontId="2" type="noConversion"/>
  </si>
  <si>
    <t>[표1] 2024년</t>
    <phoneticPr fontId="2" type="noConversion"/>
  </si>
  <si>
    <t>[표2] 2025년</t>
    <phoneticPr fontId="2" type="noConversion"/>
  </si>
  <si>
    <t>[표3] 2026년</t>
    <phoneticPr fontId="2" type="noConversion"/>
  </si>
  <si>
    <t>핀란드</t>
    <phoneticPr fontId="2" type="noConversion"/>
  </si>
  <si>
    <t>네덜란드</t>
    <phoneticPr fontId="2" type="noConversion"/>
  </si>
  <si>
    <t>배출량(톤)</t>
    <phoneticPr fontId="2" type="noConversion"/>
  </si>
  <si>
    <t>정기예금</t>
  </si>
  <si>
    <t>A</t>
  </si>
  <si>
    <t>B</t>
  </si>
  <si>
    <t>적립식예금</t>
    <phoneticPr fontId="2" type="noConversion"/>
  </si>
  <si>
    <t>C</t>
    <phoneticPr fontId="2" type="noConversion"/>
  </si>
  <si>
    <t>D</t>
  </si>
  <si>
    <t>예금A</t>
  </si>
  <si>
    <t>예금B</t>
  </si>
  <si>
    <t>예금C</t>
  </si>
  <si>
    <t>예금D</t>
  </si>
  <si>
    <t>比率</t>
    <phoneticPr fontId="2" type="noConversion"/>
  </si>
  <si>
    <t>&gt;=4</t>
    <phoneticPr fontId="2" type="noConversion"/>
  </si>
  <si>
    <t>&lt;=50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</si>
</sst>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_-;\-* #,##0_-;_-* &quot;-&quot;?_-;_-@_-"/>
    <numFmt numFmtId="177" formatCode="_-* #,##0_-;\-* #,##0_-;_-* &quot;-&quot;??_-;_-@_-"/>
    <numFmt numFmtId="178" formatCode="General&quot;%&quot;"/>
  </numFmts>
  <fonts count="1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6"/>
      <color theme="1"/>
      <name val="새굴림"/>
      <family val="1"/>
      <charset val="129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4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2" applyFont="1" applyAlignment="1"/>
    <xf numFmtId="0" fontId="5" fillId="0" borderId="0" xfId="0" applyFont="1">
      <alignment vertical="center"/>
    </xf>
    <xf numFmtId="0" fontId="5" fillId="0" borderId="0" xfId="0" applyFont="1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0" fontId="7" fillId="0" borderId="0" xfId="2" applyFont="1">
      <alignment vertical="center"/>
    </xf>
    <xf numFmtId="0" fontId="7" fillId="0" borderId="0" xfId="2" applyFont="1" applyAlignment="1">
      <alignment horizontal="center" vertical="center"/>
    </xf>
    <xf numFmtId="0" fontId="0" fillId="0" borderId="1" xfId="0" applyBorder="1">
      <alignment vertical="center"/>
    </xf>
    <xf numFmtId="41" fontId="0" fillId="0" borderId="0" xfId="1" applyFont="1">
      <alignment vertical="center"/>
    </xf>
    <xf numFmtId="3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2" applyFont="1" applyAlignment="1"/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0" xfId="2" applyFont="1" applyAlignment="1">
      <alignment horizontal="center"/>
    </xf>
    <xf numFmtId="20" fontId="0" fillId="0" borderId="1" xfId="0" applyNumberForma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10" fillId="0" borderId="0" xfId="0" applyFont="1">
      <alignment vertical="center"/>
    </xf>
    <xf numFmtId="10" fontId="0" fillId="0" borderId="1" xfId="4" applyNumberFormat="1" applyFont="1" applyBorder="1" applyAlignment="1">
      <alignment horizontal="center" vertical="center"/>
    </xf>
    <xf numFmtId="176" fontId="0" fillId="0" borderId="1" xfId="0" applyNumberFormat="1" applyBorder="1">
      <alignment vertical="center"/>
    </xf>
    <xf numFmtId="177" fontId="0" fillId="0" borderId="0" xfId="0" applyNumberFormat="1">
      <alignment vertical="center"/>
    </xf>
    <xf numFmtId="0" fontId="11" fillId="0" borderId="0" xfId="0" applyFont="1">
      <alignment vertical="center"/>
    </xf>
    <xf numFmtId="0" fontId="5" fillId="0" borderId="1" xfId="0" applyFont="1" applyBorder="1" applyAlignment="1">
      <alignment horizontal="center" vertical="center" wrapText="1"/>
    </xf>
    <xf numFmtId="10" fontId="5" fillId="0" borderId="1" xfId="0" applyNumberFormat="1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 wrapText="1"/>
    </xf>
    <xf numFmtId="3" fontId="5" fillId="0" borderId="1" xfId="0" applyNumberFormat="1" applyFont="1" applyBorder="1" applyAlignment="1">
      <alignment vertical="center" wrapText="1"/>
    </xf>
    <xf numFmtId="0" fontId="5" fillId="0" borderId="1" xfId="0" applyFont="1" applyBorder="1">
      <alignment vertical="center"/>
    </xf>
    <xf numFmtId="0" fontId="12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3" fontId="0" fillId="0" borderId="1" xfId="0" applyNumberFormat="1" applyBorder="1" applyAlignment="1">
      <alignment vertical="center" wrapText="1"/>
    </xf>
    <xf numFmtId="178" fontId="0" fillId="0" borderId="1" xfId="0" applyNumberFormat="1" applyBorder="1" applyAlignment="1">
      <alignment vertical="center" wrapText="1"/>
    </xf>
    <xf numFmtId="0" fontId="0" fillId="0" borderId="3" xfId="0" applyBorder="1" applyAlignment="1">
      <alignment horizontal="center" vertical="center" wrapText="1"/>
    </xf>
    <xf numFmtId="3" fontId="0" fillId="0" borderId="3" xfId="0" applyNumberFormat="1" applyBorder="1" applyAlignment="1">
      <alignment vertical="center" wrapText="1"/>
    </xf>
    <xf numFmtId="178" fontId="0" fillId="0" borderId="3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3" borderId="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</cellXfs>
  <cellStyles count="5">
    <cellStyle name="백분율" xfId="4" builtinId="5"/>
    <cellStyle name="쉼표 [0]" xfId="1" builtinId="6"/>
    <cellStyle name="쉼표 [0] 2" xfId="3" xr:uid="{127569F6-457C-47BD-A111-53F271C82479}"/>
    <cellStyle name="표준" xfId="0" builtinId="0"/>
    <cellStyle name="표준 2" xfId="2" xr:uid="{6313909A-C6CC-43CD-8CDC-9A61526FE45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공복혈당 (mg/dL)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차트작업!$C$4:$C$13</c:f>
              <c:numCache>
                <c:formatCode>General</c:formatCode>
                <c:ptCount val="10"/>
                <c:pt idx="0">
                  <c:v>75</c:v>
                </c:pt>
                <c:pt idx="1">
                  <c:v>98</c:v>
                </c:pt>
                <c:pt idx="2">
                  <c:v>92</c:v>
                </c:pt>
                <c:pt idx="3">
                  <c:v>140</c:v>
                </c:pt>
                <c:pt idx="4">
                  <c:v>90</c:v>
                </c:pt>
                <c:pt idx="5">
                  <c:v>95</c:v>
                </c:pt>
                <c:pt idx="6">
                  <c:v>85</c:v>
                </c:pt>
                <c:pt idx="7">
                  <c:v>105</c:v>
                </c:pt>
                <c:pt idx="8">
                  <c:v>92</c:v>
                </c:pt>
                <c:pt idx="9">
                  <c:v>170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B-455F-8E98-EA8B111797F9}"/>
            </c:ext>
          </c:extLst>
        </c:ser>
        <c:ser>
          <c:idx val="1"/>
          <c:order val="1"/>
          <c:tx>
            <c:strRef>
              <c:f>차트작업!$D$3</c:f>
              <c:strCache>
                <c:ptCount val="1"/>
                <c:pt idx="0">
                  <c:v>식후1시간혈당(mg/dL)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차트작업!$D$4:$D$13</c:f>
              <c:numCache>
                <c:formatCode>General</c:formatCode>
                <c:ptCount val="10"/>
                <c:pt idx="0">
                  <c:v>145</c:v>
                </c:pt>
                <c:pt idx="1">
                  <c:v>155</c:v>
                </c:pt>
                <c:pt idx="2">
                  <c:v>140</c:v>
                </c:pt>
                <c:pt idx="3">
                  <c:v>160</c:v>
                </c:pt>
                <c:pt idx="4">
                  <c:v>135</c:v>
                </c:pt>
                <c:pt idx="5">
                  <c:v>150</c:v>
                </c:pt>
                <c:pt idx="6">
                  <c:v>130</c:v>
                </c:pt>
                <c:pt idx="7">
                  <c:v>170</c:v>
                </c:pt>
                <c:pt idx="8">
                  <c:v>145</c:v>
                </c:pt>
                <c:pt idx="9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B-455F-8E98-EA8B111797F9}"/>
            </c:ext>
          </c:extLst>
        </c:ser>
        <c:ser>
          <c:idx val="2"/>
          <c:order val="2"/>
          <c:tx>
            <c:strRef>
              <c:f>차트작업!$E$3</c:f>
              <c:strCache>
                <c:ptCount val="1"/>
                <c:pt idx="0">
                  <c:v>식후2시간혈당(mg/dL)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120</c:v>
                </c:pt>
                <c:pt idx="1">
                  <c:v>130</c:v>
                </c:pt>
                <c:pt idx="2">
                  <c:v>125</c:v>
                </c:pt>
                <c:pt idx="3">
                  <c:v>140</c:v>
                </c:pt>
                <c:pt idx="4">
                  <c:v>120</c:v>
                </c:pt>
                <c:pt idx="5">
                  <c:v>130</c:v>
                </c:pt>
                <c:pt idx="6">
                  <c:v>115</c:v>
                </c:pt>
                <c:pt idx="7">
                  <c:v>145</c:v>
                </c:pt>
                <c:pt idx="8">
                  <c:v>125</c:v>
                </c:pt>
                <c:pt idx="9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1B-455F-8E98-EA8B111797F9}"/>
            </c:ext>
          </c:extLst>
        </c:ser>
        <c:ser>
          <c:idx val="3"/>
          <c:order val="3"/>
          <c:tx>
            <c:strRef>
              <c:f>차트작업!$F$3</c:f>
              <c:strCache>
                <c:ptCount val="1"/>
                <c:pt idx="0">
                  <c:v>수축기혈압 (mmHg)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120</c:v>
                </c:pt>
                <c:pt idx="1">
                  <c:v>125</c:v>
                </c:pt>
                <c:pt idx="2">
                  <c:v>130</c:v>
                </c:pt>
                <c:pt idx="3">
                  <c:v>135</c:v>
                </c:pt>
                <c:pt idx="4">
                  <c:v>125</c:v>
                </c:pt>
                <c:pt idx="5">
                  <c:v>130</c:v>
                </c:pt>
                <c:pt idx="6">
                  <c:v>120</c:v>
                </c:pt>
                <c:pt idx="7">
                  <c:v>180</c:v>
                </c:pt>
                <c:pt idx="8">
                  <c:v>128</c:v>
                </c:pt>
                <c:pt idx="9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1B-455F-8E98-EA8B111797F9}"/>
            </c:ext>
          </c:extLst>
        </c:ser>
        <c:ser>
          <c:idx val="4"/>
          <c:order val="4"/>
          <c:tx>
            <c:strRef>
              <c:f>차트작업!$G$3</c:f>
              <c:strCache>
                <c:ptCount val="1"/>
                <c:pt idx="0">
                  <c:v>이완기혈압 (mmHg)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차트작업!$B$4:$B$13</c:f>
              <c:numCache>
                <c:formatCode>m/d/yyyy</c:formatCode>
                <c:ptCount val="10"/>
                <c:pt idx="0">
                  <c:v>46082</c:v>
                </c:pt>
                <c:pt idx="1">
                  <c:v>46083</c:v>
                </c:pt>
                <c:pt idx="2">
                  <c:v>46084</c:v>
                </c:pt>
                <c:pt idx="3">
                  <c:v>46085</c:v>
                </c:pt>
                <c:pt idx="4">
                  <c:v>46086</c:v>
                </c:pt>
                <c:pt idx="5">
                  <c:v>46087</c:v>
                </c:pt>
                <c:pt idx="6">
                  <c:v>46088</c:v>
                </c:pt>
                <c:pt idx="7">
                  <c:v>46089</c:v>
                </c:pt>
                <c:pt idx="8">
                  <c:v>46090</c:v>
                </c:pt>
                <c:pt idx="9">
                  <c:v>46091</c:v>
                </c:pt>
              </c:numCache>
            </c:num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80</c:v>
                </c:pt>
                <c:pt idx="1">
                  <c:v>82</c:v>
                </c:pt>
                <c:pt idx="2">
                  <c:v>85</c:v>
                </c:pt>
                <c:pt idx="3">
                  <c:v>88</c:v>
                </c:pt>
                <c:pt idx="4">
                  <c:v>80</c:v>
                </c:pt>
                <c:pt idx="5">
                  <c:v>82</c:v>
                </c:pt>
                <c:pt idx="6">
                  <c:v>78</c:v>
                </c:pt>
                <c:pt idx="7">
                  <c:v>90</c:v>
                </c:pt>
                <c:pt idx="8">
                  <c:v>82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1B-455F-8E98-EA8B11179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08052479"/>
        <c:axId val="1008055807"/>
      </c:barChart>
      <c:dateAx>
        <c:axId val="100805247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5807"/>
        <c:crosses val="autoZero"/>
        <c:auto val="1"/>
        <c:lblOffset val="100"/>
        <c:baseTimeUnit val="days"/>
      </c:dateAx>
      <c:valAx>
        <c:axId val="1008055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080524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0617A-4BB1-4C96-9E94-D378FDDBD0EC}">
  <sheetPr codeName="Sheet1"/>
  <dimension ref="A1"/>
  <sheetViews>
    <sheetView workbookViewId="0">
      <selection activeCell="A2" sqref="A2:G11"/>
    </sheetView>
  </sheetViews>
  <sheetFormatPr defaultRowHeight="16.5" x14ac:dyDescent="0.3"/>
  <cols>
    <col min="1" max="1" width="11" bestFit="1" customWidth="1"/>
    <col min="2" max="2" width="20.625" customWidth="1"/>
    <col min="3" max="3" width="18.75" customWidth="1"/>
    <col min="4" max="4" width="12.25" customWidth="1"/>
    <col min="5" max="5" width="9.75" customWidth="1"/>
    <col min="6" max="6" width="9.375" customWidth="1"/>
    <col min="7" max="7" width="10.75" customWidth="1"/>
    <col min="8" max="8" width="10.125" customWidth="1"/>
  </cols>
  <sheetData>
    <row r="1" spans="1:1" x14ac:dyDescent="0.3">
      <c r="A1" t="s">
        <v>42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92B3BC-017A-4CF3-A6F0-7A33C39FCF20}">
  <sheetPr codeName="Sheet2"/>
  <dimension ref="A1:H16"/>
  <sheetViews>
    <sheetView workbookViewId="0">
      <selection activeCell="J8" sqref="J8"/>
    </sheetView>
  </sheetViews>
  <sheetFormatPr defaultRowHeight="16.5" x14ac:dyDescent="0.3"/>
  <cols>
    <col min="1" max="1" width="11" customWidth="1"/>
    <col min="3" max="3" width="9.25" customWidth="1"/>
    <col min="4" max="4" width="9.75" customWidth="1"/>
    <col min="5" max="5" width="14.375" customWidth="1"/>
    <col min="6" max="6" width="15" customWidth="1"/>
    <col min="7" max="7" width="11" customWidth="1"/>
    <col min="8" max="8" width="13.75" customWidth="1"/>
  </cols>
  <sheetData>
    <row r="1" spans="1:8" ht="27" customHeight="1" x14ac:dyDescent="0.3">
      <c r="A1" s="37" t="s">
        <v>43</v>
      </c>
      <c r="B1" s="37"/>
      <c r="C1" s="37"/>
      <c r="D1" s="37"/>
      <c r="E1" s="37"/>
      <c r="F1" s="37"/>
      <c r="G1" s="37"/>
      <c r="H1" s="37"/>
    </row>
    <row r="3" spans="1:8" x14ac:dyDescent="0.3">
      <c r="A3" s="38" t="s">
        <v>45</v>
      </c>
      <c r="B3" s="38"/>
      <c r="E3" s="38" t="s">
        <v>46</v>
      </c>
      <c r="F3" s="38"/>
      <c r="G3" s="38" t="s">
        <v>177</v>
      </c>
      <c r="H3" s="38"/>
    </row>
    <row r="4" spans="1:8" ht="17.25" thickBot="1" x14ac:dyDescent="0.35">
      <c r="A4" s="45" t="s">
        <v>26</v>
      </c>
      <c r="B4" s="45" t="s">
        <v>27</v>
      </c>
      <c r="C4" s="45" t="s">
        <v>44</v>
      </c>
      <c r="D4" s="45" t="s">
        <v>28</v>
      </c>
      <c r="E4" s="45" t="s">
        <v>47</v>
      </c>
      <c r="F4" s="45" t="s">
        <v>48</v>
      </c>
      <c r="G4" s="45" t="s">
        <v>49</v>
      </c>
      <c r="H4" s="45" t="s">
        <v>50</v>
      </c>
    </row>
    <row r="5" spans="1:8" ht="17.25" thickTop="1" x14ac:dyDescent="0.3">
      <c r="A5" s="41" t="s">
        <v>29</v>
      </c>
      <c r="B5" s="41" t="s">
        <v>5</v>
      </c>
      <c r="C5" s="42">
        <v>4200</v>
      </c>
      <c r="D5" s="43">
        <v>3.2</v>
      </c>
      <c r="E5" s="44">
        <v>105.4</v>
      </c>
      <c r="F5" s="44">
        <v>120.5</v>
      </c>
      <c r="G5" s="44">
        <v>23.5</v>
      </c>
      <c r="H5" s="44">
        <v>64.2</v>
      </c>
    </row>
    <row r="6" spans="1:8" x14ac:dyDescent="0.3">
      <c r="A6" s="14" t="s">
        <v>30</v>
      </c>
      <c r="B6" s="14" t="s">
        <v>6</v>
      </c>
      <c r="C6" s="39">
        <v>3500</v>
      </c>
      <c r="D6" s="40">
        <v>3.8</v>
      </c>
      <c r="E6" s="16">
        <v>103.1</v>
      </c>
      <c r="F6" s="16">
        <v>98.3</v>
      </c>
      <c r="G6" s="16">
        <v>25.8</v>
      </c>
      <c r="H6" s="16">
        <v>62.7</v>
      </c>
    </row>
    <row r="7" spans="1:8" x14ac:dyDescent="0.3">
      <c r="A7" s="14" t="s">
        <v>31</v>
      </c>
      <c r="B7" s="14" t="s">
        <v>8</v>
      </c>
      <c r="C7" s="39">
        <v>3200</v>
      </c>
      <c r="D7" s="40">
        <v>4.0999999999999996</v>
      </c>
      <c r="E7" s="16">
        <v>102.7</v>
      </c>
      <c r="F7" s="16">
        <v>95.7</v>
      </c>
      <c r="G7" s="16">
        <v>26.4</v>
      </c>
      <c r="H7" s="16">
        <v>61.5</v>
      </c>
    </row>
    <row r="8" spans="1:8" x14ac:dyDescent="0.3">
      <c r="A8" s="14" t="s">
        <v>32</v>
      </c>
      <c r="B8" s="14" t="s">
        <v>9</v>
      </c>
      <c r="C8" s="39">
        <v>3900</v>
      </c>
      <c r="D8" s="40">
        <v>3.5</v>
      </c>
      <c r="E8" s="16">
        <v>104.2</v>
      </c>
      <c r="F8" s="16">
        <v>110.1</v>
      </c>
      <c r="G8" s="16">
        <v>24.2</v>
      </c>
      <c r="H8" s="16">
        <v>63</v>
      </c>
    </row>
    <row r="9" spans="1:8" x14ac:dyDescent="0.3">
      <c r="A9" s="14" t="s">
        <v>33</v>
      </c>
      <c r="B9" s="14" t="s">
        <v>10</v>
      </c>
      <c r="C9" s="39">
        <v>3100</v>
      </c>
      <c r="D9" s="40">
        <v>4</v>
      </c>
      <c r="E9" s="16">
        <v>101.8</v>
      </c>
      <c r="F9" s="16">
        <v>94.5</v>
      </c>
      <c r="G9" s="16">
        <v>27.1</v>
      </c>
      <c r="H9" s="16">
        <v>60.8</v>
      </c>
    </row>
    <row r="10" spans="1:8" x14ac:dyDescent="0.3">
      <c r="A10" s="14" t="s">
        <v>34</v>
      </c>
      <c r="B10" s="14" t="s">
        <v>7</v>
      </c>
      <c r="C10" s="39">
        <v>3400</v>
      </c>
      <c r="D10" s="40">
        <v>3.7</v>
      </c>
      <c r="E10" s="16">
        <v>102.3</v>
      </c>
      <c r="F10" s="16">
        <v>97.2</v>
      </c>
      <c r="G10" s="16">
        <v>25</v>
      </c>
      <c r="H10" s="16">
        <v>62</v>
      </c>
    </row>
    <row r="11" spans="1:8" x14ac:dyDescent="0.3">
      <c r="A11" s="14" t="s">
        <v>35</v>
      </c>
      <c r="B11" s="14" t="s">
        <v>11</v>
      </c>
      <c r="C11" s="39">
        <v>4500</v>
      </c>
      <c r="D11" s="40">
        <v>3</v>
      </c>
      <c r="E11" s="16">
        <v>106.5</v>
      </c>
      <c r="F11" s="16">
        <v>125.3</v>
      </c>
      <c r="G11" s="16">
        <v>22.7</v>
      </c>
      <c r="H11" s="16">
        <v>65.099999999999994</v>
      </c>
    </row>
    <row r="12" spans="1:8" x14ac:dyDescent="0.3">
      <c r="A12" s="14" t="s">
        <v>36</v>
      </c>
      <c r="B12" s="14" t="s">
        <v>12</v>
      </c>
      <c r="C12" s="39">
        <v>3800</v>
      </c>
      <c r="D12" s="40">
        <v>3.6</v>
      </c>
      <c r="E12" s="16">
        <v>103.8</v>
      </c>
      <c r="F12" s="16">
        <v>108.7</v>
      </c>
      <c r="G12" s="16">
        <v>24.8</v>
      </c>
      <c r="H12" s="16">
        <v>62.9</v>
      </c>
    </row>
    <row r="13" spans="1:8" x14ac:dyDescent="0.3">
      <c r="A13" s="14" t="s">
        <v>37</v>
      </c>
      <c r="B13" s="14" t="s">
        <v>19</v>
      </c>
      <c r="C13" s="39">
        <v>3200</v>
      </c>
      <c r="D13" s="40">
        <v>3.9</v>
      </c>
      <c r="E13" s="16">
        <v>102.1</v>
      </c>
      <c r="F13" s="16">
        <v>95.2</v>
      </c>
      <c r="G13" s="16">
        <v>26</v>
      </c>
      <c r="H13" s="16">
        <v>61.2</v>
      </c>
    </row>
    <row r="14" spans="1:8" x14ac:dyDescent="0.3">
      <c r="A14" s="14" t="s">
        <v>38</v>
      </c>
      <c r="B14" s="14" t="s">
        <v>39</v>
      </c>
      <c r="C14" s="39">
        <v>3000</v>
      </c>
      <c r="D14" s="40">
        <v>4.2</v>
      </c>
      <c r="E14" s="16">
        <v>101.5</v>
      </c>
      <c r="F14" s="16">
        <v>93.4</v>
      </c>
      <c r="G14" s="16">
        <v>27.5</v>
      </c>
      <c r="H14" s="16">
        <v>60.3</v>
      </c>
    </row>
    <row r="15" spans="1:8" x14ac:dyDescent="0.3">
      <c r="A15" s="14" t="s">
        <v>40</v>
      </c>
      <c r="B15" s="14" t="s">
        <v>16</v>
      </c>
      <c r="C15" s="39">
        <v>3600</v>
      </c>
      <c r="D15" s="40">
        <v>3.4</v>
      </c>
      <c r="E15" s="16">
        <v>103.5</v>
      </c>
      <c r="F15" s="16">
        <v>99.8</v>
      </c>
      <c r="G15" s="16">
        <v>25.2</v>
      </c>
      <c r="H15" s="16">
        <v>62.5</v>
      </c>
    </row>
    <row r="16" spans="1:8" x14ac:dyDescent="0.3">
      <c r="A16" s="14" t="s">
        <v>41</v>
      </c>
      <c r="B16" s="14" t="s">
        <v>14</v>
      </c>
      <c r="C16" s="39">
        <v>3100</v>
      </c>
      <c r="D16" s="40">
        <v>3.8</v>
      </c>
      <c r="E16" s="16">
        <v>101.2</v>
      </c>
      <c r="F16" s="16">
        <v>92.7</v>
      </c>
      <c r="G16" s="16">
        <v>28.3</v>
      </c>
      <c r="H16" s="16">
        <v>59.7</v>
      </c>
    </row>
  </sheetData>
  <mergeCells count="4">
    <mergeCell ref="A1:H1"/>
    <mergeCell ref="A3:B3"/>
    <mergeCell ref="E3:F3"/>
    <mergeCell ref="G3:H3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3D2E5-7E38-47A3-820F-4D8CDB18B812}">
  <sheetPr codeName="Sheet3"/>
  <dimension ref="A1:H27"/>
  <sheetViews>
    <sheetView topLeftCell="A15" workbookViewId="0">
      <selection activeCell="A3" sqref="A3:H18"/>
    </sheetView>
  </sheetViews>
  <sheetFormatPr defaultRowHeight="16.5" x14ac:dyDescent="0.3"/>
  <cols>
    <col min="1" max="1" width="8.75" customWidth="1"/>
    <col min="4" max="4" width="13.375" customWidth="1"/>
    <col min="5" max="5" width="9.375" bestFit="1" customWidth="1"/>
    <col min="6" max="6" width="12" customWidth="1"/>
    <col min="7" max="7" width="11.75" style="12" customWidth="1"/>
    <col min="8" max="8" width="12.125" style="12" customWidth="1"/>
  </cols>
  <sheetData>
    <row r="1" spans="1:8" ht="26.25" x14ac:dyDescent="0.5">
      <c r="A1" s="13" t="s">
        <v>20</v>
      </c>
      <c r="B1" s="2"/>
      <c r="C1" s="2"/>
      <c r="D1" s="2"/>
      <c r="E1" s="2"/>
      <c r="F1" s="2"/>
      <c r="G1" s="17"/>
    </row>
    <row r="2" spans="1:8" x14ac:dyDescent="0.3">
      <c r="A2" s="3"/>
      <c r="B2" s="3"/>
      <c r="C2" s="4"/>
      <c r="D2" s="1"/>
    </row>
    <row r="3" spans="1:8" x14ac:dyDescent="0.3">
      <c r="A3" s="23" t="s">
        <v>3</v>
      </c>
      <c r="B3" s="23" t="s">
        <v>51</v>
      </c>
      <c r="C3" s="23" t="s">
        <v>52</v>
      </c>
      <c r="D3" s="23" t="s">
        <v>22</v>
      </c>
      <c r="E3" s="23" t="s">
        <v>53</v>
      </c>
      <c r="F3" s="23" t="s">
        <v>54</v>
      </c>
      <c r="G3" s="23" t="s">
        <v>55</v>
      </c>
      <c r="H3" s="23" t="s">
        <v>56</v>
      </c>
    </row>
    <row r="4" spans="1:8" x14ac:dyDescent="0.3">
      <c r="A4" s="14" t="s">
        <v>5</v>
      </c>
      <c r="B4" s="16">
        <v>15</v>
      </c>
      <c r="C4" s="16">
        <v>65</v>
      </c>
      <c r="D4" s="16">
        <v>3.5</v>
      </c>
      <c r="E4" s="16">
        <v>1012</v>
      </c>
      <c r="F4" s="16">
        <v>0</v>
      </c>
      <c r="G4" s="18">
        <v>0.27083333333333331</v>
      </c>
      <c r="H4" s="18">
        <v>0.76041666666666663</v>
      </c>
    </row>
    <row r="5" spans="1:8" x14ac:dyDescent="0.3">
      <c r="A5" s="14" t="s">
        <v>6</v>
      </c>
      <c r="B5" s="16">
        <v>18</v>
      </c>
      <c r="C5" s="16">
        <v>45</v>
      </c>
      <c r="D5" s="16">
        <v>4.2</v>
      </c>
      <c r="E5" s="16">
        <v>1010</v>
      </c>
      <c r="F5" s="16">
        <v>2</v>
      </c>
      <c r="G5" s="18">
        <v>0.27777777777777779</v>
      </c>
      <c r="H5" s="18">
        <v>0.76388888888888884</v>
      </c>
    </row>
    <row r="6" spans="1:8" x14ac:dyDescent="0.3">
      <c r="A6" s="14" t="s">
        <v>7</v>
      </c>
      <c r="B6" s="16">
        <v>16</v>
      </c>
      <c r="C6" s="16">
        <v>60</v>
      </c>
      <c r="D6" s="16">
        <v>2.8</v>
      </c>
      <c r="E6" s="16">
        <v>1011</v>
      </c>
      <c r="F6" s="16">
        <v>0.5</v>
      </c>
      <c r="G6" s="18">
        <v>0.27430555555555552</v>
      </c>
      <c r="H6" s="18">
        <v>0.75694444444444453</v>
      </c>
    </row>
    <row r="7" spans="1:8" x14ac:dyDescent="0.3">
      <c r="A7" s="14" t="s">
        <v>8</v>
      </c>
      <c r="B7" s="16">
        <v>20</v>
      </c>
      <c r="C7" s="16">
        <v>75</v>
      </c>
      <c r="D7" s="16">
        <v>3</v>
      </c>
      <c r="E7" s="16">
        <v>1013</v>
      </c>
      <c r="F7" s="16">
        <v>1</v>
      </c>
      <c r="G7" s="18">
        <v>0.28125</v>
      </c>
      <c r="H7" s="18">
        <v>0.76736111111111116</v>
      </c>
    </row>
    <row r="8" spans="1:8" x14ac:dyDescent="0.3">
      <c r="A8" s="14" t="s">
        <v>9</v>
      </c>
      <c r="B8" s="16">
        <v>14</v>
      </c>
      <c r="C8" s="16">
        <v>80</v>
      </c>
      <c r="D8" s="16">
        <v>2.5</v>
      </c>
      <c r="E8" s="16">
        <v>1010</v>
      </c>
      <c r="F8" s="16">
        <v>0</v>
      </c>
      <c r="G8" s="18">
        <v>0.2638888888888889</v>
      </c>
      <c r="H8" s="18">
        <v>0.75</v>
      </c>
    </row>
    <row r="9" spans="1:8" x14ac:dyDescent="0.3">
      <c r="A9" s="14" t="s">
        <v>10</v>
      </c>
      <c r="B9" s="16">
        <v>17</v>
      </c>
      <c r="C9" s="16">
        <v>68</v>
      </c>
      <c r="D9" s="16">
        <v>3.3</v>
      </c>
      <c r="E9" s="16">
        <v>1012</v>
      </c>
      <c r="F9" s="16">
        <v>0.1</v>
      </c>
      <c r="G9" s="18">
        <v>0.2673611111111111</v>
      </c>
      <c r="H9" s="18">
        <v>0.75347222222222221</v>
      </c>
    </row>
    <row r="10" spans="1:8" x14ac:dyDescent="0.3">
      <c r="A10" s="14" t="s">
        <v>11</v>
      </c>
      <c r="B10" s="16">
        <v>19</v>
      </c>
      <c r="C10" s="16">
        <v>50</v>
      </c>
      <c r="D10" s="16">
        <v>4</v>
      </c>
      <c r="E10" s="16">
        <v>1011</v>
      </c>
      <c r="F10" s="16">
        <v>0</v>
      </c>
      <c r="G10" s="18">
        <v>0.27638888888888885</v>
      </c>
      <c r="H10" s="18">
        <v>0.76250000000000007</v>
      </c>
    </row>
    <row r="11" spans="1:8" x14ac:dyDescent="0.3">
      <c r="A11" s="14" t="s">
        <v>12</v>
      </c>
      <c r="B11" s="16">
        <v>16</v>
      </c>
      <c r="C11" s="16">
        <v>69</v>
      </c>
      <c r="D11" s="16">
        <v>3.1</v>
      </c>
      <c r="E11" s="16">
        <v>1012</v>
      </c>
      <c r="F11" s="16">
        <v>0</v>
      </c>
      <c r="G11" s="18">
        <v>0.27083333333333331</v>
      </c>
      <c r="H11" s="18">
        <v>0.75694444444444453</v>
      </c>
    </row>
    <row r="12" spans="1:8" x14ac:dyDescent="0.3">
      <c r="A12" s="14" t="s">
        <v>13</v>
      </c>
      <c r="B12" s="16">
        <v>18</v>
      </c>
      <c r="C12" s="16">
        <v>65</v>
      </c>
      <c r="D12" s="16">
        <v>3.7</v>
      </c>
      <c r="E12" s="16">
        <v>1014</v>
      </c>
      <c r="F12" s="16">
        <v>0</v>
      </c>
      <c r="G12" s="18">
        <v>0.2722222222222222</v>
      </c>
      <c r="H12" s="18">
        <v>0.7583333333333333</v>
      </c>
    </row>
    <row r="13" spans="1:8" x14ac:dyDescent="0.3">
      <c r="A13" s="14" t="s">
        <v>14</v>
      </c>
      <c r="B13" s="16">
        <v>21</v>
      </c>
      <c r="C13" s="16">
        <v>77</v>
      </c>
      <c r="D13" s="16">
        <v>5</v>
      </c>
      <c r="E13" s="16">
        <v>1010</v>
      </c>
      <c r="F13" s="16">
        <v>3</v>
      </c>
      <c r="G13" s="18">
        <v>0.28472222222222221</v>
      </c>
      <c r="H13" s="18">
        <v>0.77083333333333337</v>
      </c>
    </row>
    <row r="14" spans="1:8" x14ac:dyDescent="0.3">
      <c r="A14" s="14" t="s">
        <v>15</v>
      </c>
      <c r="B14" s="16">
        <v>22</v>
      </c>
      <c r="C14" s="16">
        <v>79</v>
      </c>
      <c r="D14" s="16">
        <v>3.8</v>
      </c>
      <c r="E14" s="16">
        <v>1013</v>
      </c>
      <c r="F14" s="16">
        <v>2</v>
      </c>
      <c r="G14" s="18">
        <v>0.28819444444444448</v>
      </c>
      <c r="H14" s="18">
        <v>0.77430555555555547</v>
      </c>
    </row>
    <row r="15" spans="1:8" x14ac:dyDescent="0.3">
      <c r="A15" s="14" t="s">
        <v>16</v>
      </c>
      <c r="B15" s="16">
        <v>20</v>
      </c>
      <c r="C15" s="16">
        <v>48</v>
      </c>
      <c r="D15" s="16">
        <v>4.3</v>
      </c>
      <c r="E15" s="16">
        <v>1011</v>
      </c>
      <c r="F15" s="16">
        <v>0.5</v>
      </c>
      <c r="G15" s="18">
        <v>0.27777777777777779</v>
      </c>
      <c r="H15" s="18">
        <v>0.76736111111111116</v>
      </c>
    </row>
    <row r="16" spans="1:8" x14ac:dyDescent="0.3">
      <c r="A16" s="14" t="s">
        <v>17</v>
      </c>
      <c r="B16" s="16">
        <v>13</v>
      </c>
      <c r="C16" s="16">
        <v>70</v>
      </c>
      <c r="D16" s="16">
        <v>2.6</v>
      </c>
      <c r="E16" s="16">
        <v>1012</v>
      </c>
      <c r="F16" s="16">
        <v>0</v>
      </c>
      <c r="G16" s="18">
        <v>0.26041666666666669</v>
      </c>
      <c r="H16" s="18">
        <v>0.74652777777777779</v>
      </c>
    </row>
    <row r="17" spans="1:8" x14ac:dyDescent="0.3">
      <c r="A17" s="14" t="s">
        <v>18</v>
      </c>
      <c r="B17" s="16">
        <v>14</v>
      </c>
      <c r="C17" s="16">
        <v>68</v>
      </c>
      <c r="D17" s="16">
        <v>3.2</v>
      </c>
      <c r="E17" s="16">
        <v>1011</v>
      </c>
      <c r="F17" s="16">
        <v>0.2</v>
      </c>
      <c r="G17" s="18">
        <v>0.2638888888888889</v>
      </c>
      <c r="H17" s="18">
        <v>0.75</v>
      </c>
    </row>
    <row r="18" spans="1:8" x14ac:dyDescent="0.3">
      <c r="A18" s="14" t="s">
        <v>19</v>
      </c>
      <c r="B18" s="16">
        <v>19</v>
      </c>
      <c r="C18" s="16">
        <v>66</v>
      </c>
      <c r="D18" s="16">
        <v>3</v>
      </c>
      <c r="E18" s="16">
        <v>1012</v>
      </c>
      <c r="F18" s="16">
        <v>0</v>
      </c>
      <c r="G18" s="18">
        <v>0.27430555555555552</v>
      </c>
      <c r="H18" s="18">
        <v>0.76041666666666663</v>
      </c>
    </row>
    <row r="20" spans="1:8" x14ac:dyDescent="0.3">
      <c r="A20" s="23" t="s">
        <v>22</v>
      </c>
      <c r="B20" s="23" t="s">
        <v>52</v>
      </c>
    </row>
    <row r="21" spans="1:8" x14ac:dyDescent="0.3">
      <c r="A21" s="46" t="s">
        <v>178</v>
      </c>
      <c r="B21" t="s">
        <v>179</v>
      </c>
    </row>
    <row r="24" spans="1:8" x14ac:dyDescent="0.3">
      <c r="A24" s="23" t="s">
        <v>3</v>
      </c>
      <c r="B24" s="23" t="s">
        <v>51</v>
      </c>
      <c r="C24" s="23" t="s">
        <v>52</v>
      </c>
      <c r="D24" s="23" t="s">
        <v>53</v>
      </c>
      <c r="E24" s="23" t="s">
        <v>54</v>
      </c>
      <c r="F24" s="23" t="s">
        <v>22</v>
      </c>
    </row>
    <row r="25" spans="1:8" x14ac:dyDescent="0.3">
      <c r="A25" s="14" t="s">
        <v>6</v>
      </c>
      <c r="B25" s="16">
        <v>18</v>
      </c>
      <c r="C25" s="16">
        <v>45</v>
      </c>
      <c r="D25" s="16">
        <v>1010</v>
      </c>
      <c r="E25" s="16">
        <v>2</v>
      </c>
      <c r="F25" s="16">
        <v>4.2</v>
      </c>
    </row>
    <row r="26" spans="1:8" x14ac:dyDescent="0.3">
      <c r="A26" s="14" t="s">
        <v>11</v>
      </c>
      <c r="B26" s="16">
        <v>19</v>
      </c>
      <c r="C26" s="16">
        <v>50</v>
      </c>
      <c r="D26" s="16">
        <v>1011</v>
      </c>
      <c r="E26" s="16">
        <v>0</v>
      </c>
      <c r="F26" s="16">
        <v>4</v>
      </c>
    </row>
    <row r="27" spans="1:8" x14ac:dyDescent="0.3">
      <c r="A27" s="14" t="s">
        <v>16</v>
      </c>
      <c r="B27" s="16">
        <v>20</v>
      </c>
      <c r="C27" s="16">
        <v>48</v>
      </c>
      <c r="D27" s="16">
        <v>1011</v>
      </c>
      <c r="E27" s="16">
        <v>0.5</v>
      </c>
      <c r="F27" s="16">
        <v>4.3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BE00-F401-481F-A9F7-08DE04F45F03}">
  <sheetPr codeName="Sheet4"/>
  <dimension ref="A1:N44"/>
  <sheetViews>
    <sheetView tabSelected="1" workbookViewId="0">
      <selection activeCell="L3" sqref="L3:L10"/>
    </sheetView>
  </sheetViews>
  <sheetFormatPr defaultRowHeight="16.5" x14ac:dyDescent="0.3"/>
  <cols>
    <col min="1" max="1" width="11.625" customWidth="1"/>
    <col min="2" max="2" width="12.25" customWidth="1"/>
    <col min="3" max="3" width="13.5" customWidth="1"/>
    <col min="4" max="4" width="15" customWidth="1"/>
    <col min="5" max="5" width="13.125" customWidth="1"/>
    <col min="6" max="6" width="2.625" customWidth="1"/>
    <col min="7" max="7" width="9.25" customWidth="1"/>
    <col min="8" max="8" width="11.5" customWidth="1"/>
    <col min="9" max="9" width="13.25" customWidth="1"/>
    <col min="10" max="10" width="13" customWidth="1"/>
    <col min="11" max="11" width="14.375" customWidth="1"/>
    <col min="12" max="12" width="11.25" customWidth="1"/>
    <col min="13" max="13" width="14.25" customWidth="1"/>
    <col min="18" max="19" width="8.875" bestFit="1" customWidth="1"/>
    <col min="20" max="21" width="9.25" bestFit="1" customWidth="1"/>
  </cols>
  <sheetData>
    <row r="1" spans="1:13" x14ac:dyDescent="0.3">
      <c r="A1" s="6" t="s">
        <v>21</v>
      </c>
      <c r="B1" s="6"/>
      <c r="C1" s="6"/>
      <c r="D1" s="6"/>
      <c r="E1" s="6"/>
      <c r="F1" s="6"/>
      <c r="G1" t="s">
        <v>0</v>
      </c>
    </row>
    <row r="2" spans="1:13" x14ac:dyDescent="0.3">
      <c r="A2" s="21" t="s">
        <v>81</v>
      </c>
      <c r="B2" s="21" t="s">
        <v>24</v>
      </c>
      <c r="C2" s="21" t="s">
        <v>91</v>
      </c>
      <c r="D2" s="21" t="s">
        <v>89</v>
      </c>
      <c r="E2" s="21" t="s">
        <v>90</v>
      </c>
      <c r="F2" s="6"/>
      <c r="G2" s="23" t="s">
        <v>25</v>
      </c>
      <c r="H2" s="23" t="s">
        <v>24</v>
      </c>
      <c r="I2" s="23" t="s">
        <v>113</v>
      </c>
      <c r="J2" s="23" t="s">
        <v>110</v>
      </c>
      <c r="K2" s="23" t="s">
        <v>112</v>
      </c>
      <c r="L2" s="23" t="s">
        <v>123</v>
      </c>
    </row>
    <row r="3" spans="1:13" x14ac:dyDescent="0.3">
      <c r="A3" s="11" t="s">
        <v>82</v>
      </c>
      <c r="B3" s="10">
        <v>45</v>
      </c>
      <c r="C3" s="10">
        <v>120</v>
      </c>
      <c r="D3" s="11">
        <v>180</v>
      </c>
      <c r="E3" s="11" t="str">
        <f>IF(D3&gt;=180,"고혈당","정상")</f>
        <v>고혈당</v>
      </c>
      <c r="F3" s="6"/>
      <c r="G3" s="11" t="s">
        <v>74</v>
      </c>
      <c r="H3" s="11">
        <v>45</v>
      </c>
      <c r="I3" s="11" t="s">
        <v>167</v>
      </c>
      <c r="J3" s="11" t="s">
        <v>168</v>
      </c>
      <c r="K3" s="5">
        <v>30000000</v>
      </c>
      <c r="L3" s="27">
        <f>K3*HLOOKUP(RIGHT(I3,2)&amp;J3,$H$12:$K$13,2,0)</f>
        <v>960000</v>
      </c>
    </row>
    <row r="4" spans="1:13" x14ac:dyDescent="0.3">
      <c r="A4" s="11" t="s">
        <v>83</v>
      </c>
      <c r="B4" s="10">
        <v>50</v>
      </c>
      <c r="C4" s="10">
        <v>130</v>
      </c>
      <c r="D4" s="11">
        <v>140</v>
      </c>
      <c r="E4" s="11" t="str">
        <f t="shared" ref="E4:E5" si="0">IF(D4&gt;=180,"고혈당","정상")</f>
        <v>정상</v>
      </c>
      <c r="F4" s="6"/>
      <c r="G4" s="11" t="s">
        <v>114</v>
      </c>
      <c r="H4" s="11">
        <v>66</v>
      </c>
      <c r="I4" s="11" t="s">
        <v>167</v>
      </c>
      <c r="J4" s="11" t="s">
        <v>169</v>
      </c>
      <c r="K4" s="5">
        <v>60000000</v>
      </c>
      <c r="L4" s="27">
        <f t="shared" ref="L4:L10" si="1">K4*HLOOKUP(RIGHT(I4,2)&amp;J4,$H$12:$K$13,2,0)</f>
        <v>2100000</v>
      </c>
    </row>
    <row r="5" spans="1:13" x14ac:dyDescent="0.3">
      <c r="A5" s="11" t="s">
        <v>84</v>
      </c>
      <c r="B5" s="10">
        <v>31</v>
      </c>
      <c r="C5" s="10">
        <v>125</v>
      </c>
      <c r="D5" s="11">
        <v>170</v>
      </c>
      <c r="E5" s="11" t="str">
        <f t="shared" si="0"/>
        <v>정상</v>
      </c>
      <c r="F5" s="6"/>
      <c r="G5" s="11" t="s">
        <v>115</v>
      </c>
      <c r="H5" s="11">
        <v>30</v>
      </c>
      <c r="I5" s="11" t="s">
        <v>170</v>
      </c>
      <c r="J5" s="11" t="s">
        <v>171</v>
      </c>
      <c r="K5" s="5">
        <v>10000000</v>
      </c>
      <c r="L5" s="27">
        <f t="shared" si="1"/>
        <v>380000</v>
      </c>
    </row>
    <row r="6" spans="1:13" x14ac:dyDescent="0.3">
      <c r="A6" s="11" t="s">
        <v>85</v>
      </c>
      <c r="B6" s="10">
        <v>28</v>
      </c>
      <c r="C6" s="10">
        <v>135</v>
      </c>
      <c r="D6" s="11">
        <v>150</v>
      </c>
      <c r="E6" s="11" t="s">
        <v>92</v>
      </c>
      <c r="F6" s="6"/>
      <c r="G6" s="11" t="s">
        <v>116</v>
      </c>
      <c r="H6" s="11">
        <v>25</v>
      </c>
      <c r="I6" s="11" t="s">
        <v>167</v>
      </c>
      <c r="J6" s="11" t="s">
        <v>172</v>
      </c>
      <c r="K6" s="5">
        <v>15000000</v>
      </c>
      <c r="L6" s="27">
        <f t="shared" si="1"/>
        <v>600000</v>
      </c>
    </row>
    <row r="7" spans="1:13" x14ac:dyDescent="0.3">
      <c r="A7" s="11" t="s">
        <v>86</v>
      </c>
      <c r="B7" s="10">
        <v>25</v>
      </c>
      <c r="C7" s="10">
        <v>150</v>
      </c>
      <c r="D7" s="11">
        <v>190</v>
      </c>
      <c r="E7" s="11" t="s">
        <v>92</v>
      </c>
      <c r="F7" s="6"/>
      <c r="G7" s="11" t="s">
        <v>117</v>
      </c>
      <c r="H7" s="11">
        <v>26</v>
      </c>
      <c r="I7" s="11" t="s">
        <v>167</v>
      </c>
      <c r="J7" s="11" t="s">
        <v>168</v>
      </c>
      <c r="K7" s="5">
        <v>12000000</v>
      </c>
      <c r="L7" s="27">
        <f t="shared" si="1"/>
        <v>384000</v>
      </c>
    </row>
    <row r="8" spans="1:13" x14ac:dyDescent="0.3">
      <c r="A8" s="11" t="s">
        <v>87</v>
      </c>
      <c r="B8" s="10">
        <v>41</v>
      </c>
      <c r="C8" s="10">
        <v>123</v>
      </c>
      <c r="D8" s="11">
        <v>170</v>
      </c>
      <c r="E8" s="11" t="s">
        <v>93</v>
      </c>
      <c r="F8" s="6"/>
      <c r="G8" s="11" t="s">
        <v>118</v>
      </c>
      <c r="H8" s="11">
        <v>35</v>
      </c>
      <c r="I8" s="11" t="s">
        <v>167</v>
      </c>
      <c r="J8" s="11" t="s">
        <v>169</v>
      </c>
      <c r="K8" s="5">
        <v>35000000</v>
      </c>
      <c r="L8" s="27">
        <f t="shared" si="1"/>
        <v>1225000.0000000002</v>
      </c>
    </row>
    <row r="9" spans="1:13" x14ac:dyDescent="0.3">
      <c r="A9" s="11" t="s">
        <v>88</v>
      </c>
      <c r="B9" s="10">
        <v>32</v>
      </c>
      <c r="C9" s="10">
        <v>110</v>
      </c>
      <c r="D9" s="11">
        <v>180</v>
      </c>
      <c r="E9" s="11" t="s">
        <v>93</v>
      </c>
      <c r="F9" s="6"/>
      <c r="G9" s="11" t="s">
        <v>119</v>
      </c>
      <c r="H9" s="11">
        <v>23</v>
      </c>
      <c r="I9" s="11" t="s">
        <v>170</v>
      </c>
      <c r="J9" s="11" t="s">
        <v>171</v>
      </c>
      <c r="K9" s="5">
        <v>20000000</v>
      </c>
      <c r="L9" s="27">
        <f t="shared" si="1"/>
        <v>760000</v>
      </c>
    </row>
    <row r="10" spans="1:13" x14ac:dyDescent="0.3">
      <c r="A10" s="11" t="s">
        <v>124</v>
      </c>
      <c r="B10" s="10">
        <v>48</v>
      </c>
      <c r="C10" s="10">
        <v>120</v>
      </c>
      <c r="D10" s="11">
        <v>150</v>
      </c>
      <c r="E10" s="11" t="s">
        <v>92</v>
      </c>
      <c r="F10" s="3"/>
      <c r="G10" s="11" t="s">
        <v>120</v>
      </c>
      <c r="H10" s="11">
        <v>70</v>
      </c>
      <c r="I10" s="11" t="s">
        <v>167</v>
      </c>
      <c r="J10" s="11" t="s">
        <v>172</v>
      </c>
      <c r="K10" s="5">
        <v>40000000</v>
      </c>
      <c r="L10" s="27">
        <f t="shared" si="1"/>
        <v>1600000</v>
      </c>
      <c r="M10" s="28"/>
    </row>
    <row r="12" spans="1:13" x14ac:dyDescent="0.3">
      <c r="D12" s="21" t="s">
        <v>94</v>
      </c>
      <c r="E12" s="11" t="str">
        <f>ROUND(AVERAGEIF(E3:E10,"고혈당",C3:C10),1)&amp;"(mmHg)"</f>
        <v>131.3(mmHg)</v>
      </c>
      <c r="G12" s="22" t="s">
        <v>121</v>
      </c>
      <c r="H12" s="11" t="s">
        <v>173</v>
      </c>
      <c r="I12" s="11" t="s">
        <v>174</v>
      </c>
      <c r="J12" s="11" t="s">
        <v>175</v>
      </c>
      <c r="K12" s="11" t="s">
        <v>176</v>
      </c>
    </row>
    <row r="13" spans="1:13" x14ac:dyDescent="0.3">
      <c r="G13" s="22" t="s">
        <v>122</v>
      </c>
      <c r="H13" s="26">
        <v>3.2000000000000001E-2</v>
      </c>
      <c r="I13" s="26">
        <v>3.5000000000000003E-2</v>
      </c>
      <c r="J13" s="26">
        <v>3.7999999999999999E-2</v>
      </c>
      <c r="K13" s="26">
        <v>0.04</v>
      </c>
    </row>
    <row r="15" spans="1:13" x14ac:dyDescent="0.3">
      <c r="A15" t="s">
        <v>23</v>
      </c>
      <c r="G15" t="s">
        <v>1</v>
      </c>
    </row>
    <row r="16" spans="1:13" x14ac:dyDescent="0.3">
      <c r="A16" s="23" t="s">
        <v>111</v>
      </c>
      <c r="B16" s="23" t="s">
        <v>95</v>
      </c>
      <c r="C16" s="23" t="s">
        <v>96</v>
      </c>
      <c r="D16" s="23" t="s">
        <v>110</v>
      </c>
      <c r="G16" s="23" t="s">
        <v>129</v>
      </c>
      <c r="H16" s="23" t="s">
        <v>81</v>
      </c>
      <c r="I16" s="23" t="s">
        <v>126</v>
      </c>
      <c r="J16" s="23" t="s">
        <v>127</v>
      </c>
      <c r="K16" s="23" t="s">
        <v>128</v>
      </c>
    </row>
    <row r="17" spans="1:11" x14ac:dyDescent="0.3">
      <c r="A17" s="20">
        <v>40238</v>
      </c>
      <c r="B17" s="11" t="s">
        <v>97</v>
      </c>
      <c r="C17" s="11" t="s">
        <v>104</v>
      </c>
      <c r="D17" s="11"/>
      <c r="G17" s="11">
        <v>1</v>
      </c>
      <c r="H17" s="11" t="s">
        <v>74</v>
      </c>
      <c r="I17" s="11">
        <v>89</v>
      </c>
      <c r="J17" s="11">
        <v>84</v>
      </c>
      <c r="K17" s="11">
        <v>84</v>
      </c>
    </row>
    <row r="18" spans="1:11" x14ac:dyDescent="0.3">
      <c r="A18" s="20">
        <v>41367</v>
      </c>
      <c r="B18" s="11" t="s">
        <v>98</v>
      </c>
      <c r="C18" s="11" t="s">
        <v>105</v>
      </c>
      <c r="D18" s="11"/>
      <c r="G18" s="11">
        <v>2</v>
      </c>
      <c r="H18" s="11" t="s">
        <v>114</v>
      </c>
      <c r="I18" s="11">
        <v>80</v>
      </c>
      <c r="J18" s="11">
        <v>75</v>
      </c>
      <c r="K18" s="11">
        <v>75</v>
      </c>
    </row>
    <row r="19" spans="1:11" x14ac:dyDescent="0.3">
      <c r="A19" s="20">
        <v>39600</v>
      </c>
      <c r="B19" s="11" t="s">
        <v>99</v>
      </c>
      <c r="C19" s="11" t="s">
        <v>106</v>
      </c>
      <c r="D19" s="11"/>
      <c r="G19" s="11">
        <v>3</v>
      </c>
      <c r="H19" s="11" t="s">
        <v>115</v>
      </c>
      <c r="I19" s="11">
        <v>70</v>
      </c>
      <c r="J19" s="11">
        <v>66</v>
      </c>
      <c r="K19" s="11">
        <v>66</v>
      </c>
    </row>
    <row r="20" spans="1:11" x14ac:dyDescent="0.3">
      <c r="A20" s="20">
        <v>39692</v>
      </c>
      <c r="B20" s="11" t="s">
        <v>100</v>
      </c>
      <c r="C20" s="11" t="s">
        <v>104</v>
      </c>
      <c r="D20" s="11"/>
      <c r="G20" s="11">
        <v>4</v>
      </c>
      <c r="H20" s="11" t="s">
        <v>116</v>
      </c>
      <c r="I20" s="11">
        <v>56</v>
      </c>
      <c r="J20" s="11">
        <v>51</v>
      </c>
      <c r="K20" s="11">
        <v>52</v>
      </c>
    </row>
    <row r="21" spans="1:11" x14ac:dyDescent="0.3">
      <c r="A21" s="20">
        <v>39569</v>
      </c>
      <c r="B21" s="11" t="s">
        <v>101</v>
      </c>
      <c r="C21" s="11" t="s">
        <v>105</v>
      </c>
      <c r="D21" s="11"/>
      <c r="G21" s="11">
        <v>5</v>
      </c>
      <c r="H21" s="11" t="s">
        <v>117</v>
      </c>
      <c r="I21" s="11">
        <v>36</v>
      </c>
      <c r="J21" s="11">
        <v>31</v>
      </c>
      <c r="K21" s="11">
        <v>99</v>
      </c>
    </row>
    <row r="22" spans="1:11" x14ac:dyDescent="0.3">
      <c r="A22" s="20">
        <v>40183</v>
      </c>
      <c r="B22" s="11" t="s">
        <v>102</v>
      </c>
      <c r="C22" s="11" t="s">
        <v>107</v>
      </c>
      <c r="D22" s="11"/>
      <c r="G22" s="11">
        <v>6</v>
      </c>
      <c r="H22" s="11" t="s">
        <v>118</v>
      </c>
      <c r="I22" s="11">
        <v>93</v>
      </c>
      <c r="J22" s="11">
        <v>84</v>
      </c>
      <c r="K22" s="11">
        <v>90</v>
      </c>
    </row>
    <row r="23" spans="1:11" x14ac:dyDescent="0.3">
      <c r="A23" s="20">
        <v>39845</v>
      </c>
      <c r="B23" s="11" t="s">
        <v>103</v>
      </c>
      <c r="C23" s="11" t="s">
        <v>107</v>
      </c>
      <c r="D23" s="11"/>
      <c r="G23" s="11">
        <v>7</v>
      </c>
      <c r="H23" s="11" t="s">
        <v>119</v>
      </c>
      <c r="I23" s="11">
        <v>84</v>
      </c>
      <c r="J23" s="11">
        <v>74</v>
      </c>
      <c r="K23" s="11">
        <v>81</v>
      </c>
    </row>
    <row r="24" spans="1:11" x14ac:dyDescent="0.3">
      <c r="A24" s="20">
        <v>40148</v>
      </c>
      <c r="B24" s="11" t="s">
        <v>108</v>
      </c>
      <c r="C24" s="11" t="s">
        <v>109</v>
      </c>
      <c r="D24" s="11"/>
      <c r="G24" s="11">
        <v>8</v>
      </c>
      <c r="H24" s="11" t="s">
        <v>120</v>
      </c>
      <c r="I24" s="11">
        <v>72</v>
      </c>
      <c r="J24" s="11">
        <v>62</v>
      </c>
      <c r="K24" s="11">
        <v>69</v>
      </c>
    </row>
    <row r="26" spans="1:11" x14ac:dyDescent="0.3">
      <c r="A26" t="s">
        <v>2</v>
      </c>
      <c r="H26" s="23"/>
      <c r="I26" s="23"/>
      <c r="K26" s="23" t="s">
        <v>130</v>
      </c>
    </row>
    <row r="27" spans="1:11" x14ac:dyDescent="0.3">
      <c r="A27" s="19" t="s">
        <v>3</v>
      </c>
      <c r="B27" s="19" t="s">
        <v>131</v>
      </c>
      <c r="C27" s="19" t="s">
        <v>166</v>
      </c>
      <c r="D27" s="19" t="s">
        <v>125</v>
      </c>
      <c r="H27" s="12"/>
      <c r="I27" s="12"/>
      <c r="K27" s="11"/>
    </row>
    <row r="28" spans="1:11" x14ac:dyDescent="0.3">
      <c r="A28" s="14" t="s">
        <v>5</v>
      </c>
      <c r="B28" s="14" t="s">
        <v>132</v>
      </c>
      <c r="C28" s="16">
        <v>3200</v>
      </c>
      <c r="D28" s="14"/>
    </row>
    <row r="29" spans="1:11" x14ac:dyDescent="0.3">
      <c r="A29" s="14" t="s">
        <v>6</v>
      </c>
      <c r="B29" s="14" t="s">
        <v>133</v>
      </c>
      <c r="C29" s="16">
        <v>2500</v>
      </c>
      <c r="D29" s="14"/>
    </row>
    <row r="30" spans="1:11" x14ac:dyDescent="0.3">
      <c r="A30" s="14" t="s">
        <v>8</v>
      </c>
      <c r="B30" s="14" t="s">
        <v>134</v>
      </c>
      <c r="C30" s="16">
        <v>1900</v>
      </c>
      <c r="D30" s="14"/>
    </row>
    <row r="31" spans="1:11" x14ac:dyDescent="0.3">
      <c r="A31" s="14" t="s">
        <v>9</v>
      </c>
      <c r="B31" s="14" t="s">
        <v>135</v>
      </c>
      <c r="C31" s="16">
        <v>1450</v>
      </c>
      <c r="D31" s="14"/>
    </row>
    <row r="32" spans="1:11" x14ac:dyDescent="0.3">
      <c r="A32" s="14" t="s">
        <v>10</v>
      </c>
      <c r="B32" s="14" t="s">
        <v>132</v>
      </c>
      <c r="C32" s="16">
        <v>900</v>
      </c>
      <c r="D32" s="14"/>
    </row>
    <row r="33" spans="1:14" x14ac:dyDescent="0.3">
      <c r="A33" s="14" t="s">
        <v>8</v>
      </c>
      <c r="B33" s="14" t="s">
        <v>134</v>
      </c>
      <c r="C33" s="16">
        <v>1800</v>
      </c>
      <c r="D33" s="14"/>
    </row>
    <row r="34" spans="1:14" x14ac:dyDescent="0.3">
      <c r="A34" s="14" t="s">
        <v>9</v>
      </c>
      <c r="B34" s="14" t="s">
        <v>135</v>
      </c>
      <c r="C34" s="16">
        <v>1200</v>
      </c>
      <c r="D34" s="14"/>
    </row>
    <row r="35" spans="1:14" x14ac:dyDescent="0.3">
      <c r="A35" s="14" t="s">
        <v>10</v>
      </c>
      <c r="B35" s="14" t="s">
        <v>132</v>
      </c>
      <c r="C35" s="16">
        <v>850</v>
      </c>
      <c r="D35" s="14"/>
    </row>
    <row r="38" spans="1:14" x14ac:dyDescent="0.3">
      <c r="I38" s="7"/>
    </row>
    <row r="43" spans="1:14" x14ac:dyDescent="0.3">
      <c r="J43" s="6"/>
    </row>
    <row r="44" spans="1:14" x14ac:dyDescent="0.3">
      <c r="K44" s="6"/>
      <c r="L44" s="6"/>
      <c r="M44" s="6"/>
      <c r="N44" s="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7A892-2766-4EB1-B841-6F5C5750B8C1}">
  <sheetPr codeName="Sheet5"/>
  <dimension ref="B1:H21"/>
  <sheetViews>
    <sheetView workbookViewId="0"/>
  </sheetViews>
  <sheetFormatPr defaultRowHeight="16.5" x14ac:dyDescent="0.3"/>
  <cols>
    <col min="1" max="1" width="6.75" customWidth="1"/>
    <col min="2" max="2" width="10.75" bestFit="1" customWidth="1"/>
    <col min="3" max="6" width="16.25" bestFit="1" customWidth="1"/>
    <col min="7" max="8" width="20.75" bestFit="1" customWidth="1"/>
    <col min="9" max="9" width="15.25" bestFit="1" customWidth="1"/>
    <col min="10" max="11" width="11.25" bestFit="1" customWidth="1"/>
    <col min="12" max="12" width="7.5" bestFit="1" customWidth="1"/>
    <col min="13" max="13" width="20.75" bestFit="1" customWidth="1"/>
    <col min="14" max="14" width="23.375" bestFit="1" customWidth="1"/>
  </cols>
  <sheetData>
    <row r="1" spans="2:8" ht="23.45" customHeight="1" x14ac:dyDescent="0.3">
      <c r="B1" t="s">
        <v>160</v>
      </c>
    </row>
    <row r="2" spans="2:8" ht="16.899999999999999" customHeight="1" x14ac:dyDescent="0.3"/>
    <row r="3" spans="2:8" x14ac:dyDescent="0.3">
      <c r="B3" s="11" t="s">
        <v>142</v>
      </c>
      <c r="C3" s="11" t="s">
        <v>143</v>
      </c>
      <c r="D3" s="11" t="s">
        <v>144</v>
      </c>
      <c r="E3" s="11" t="s">
        <v>158</v>
      </c>
      <c r="F3" s="11" t="s">
        <v>159</v>
      </c>
      <c r="G3" s="11" t="s">
        <v>145</v>
      </c>
      <c r="H3" s="11" t="s">
        <v>146</v>
      </c>
    </row>
    <row r="4" spans="2:8" x14ac:dyDescent="0.3">
      <c r="B4" s="11" t="s">
        <v>156</v>
      </c>
      <c r="C4" s="11" t="s">
        <v>157</v>
      </c>
      <c r="D4" s="11" t="s">
        <v>150</v>
      </c>
      <c r="E4" s="5">
        <v>1</v>
      </c>
      <c r="F4" s="5">
        <v>189710</v>
      </c>
      <c r="G4" s="5">
        <v>1</v>
      </c>
      <c r="H4" s="5">
        <v>189710</v>
      </c>
    </row>
    <row r="5" spans="2:8" x14ac:dyDescent="0.3">
      <c r="B5" s="11" t="s">
        <v>153</v>
      </c>
      <c r="C5" s="11" t="s">
        <v>148</v>
      </c>
      <c r="D5" s="11" t="s">
        <v>149</v>
      </c>
      <c r="E5" s="5">
        <v>2</v>
      </c>
      <c r="F5" s="5">
        <v>18120</v>
      </c>
      <c r="G5" s="5">
        <v>3</v>
      </c>
      <c r="H5" s="5">
        <v>27210</v>
      </c>
    </row>
    <row r="6" spans="2:8" x14ac:dyDescent="0.3">
      <c r="B6" s="11" t="s">
        <v>153</v>
      </c>
      <c r="C6" s="11" t="s">
        <v>157</v>
      </c>
      <c r="D6" s="11" t="s">
        <v>149</v>
      </c>
      <c r="E6" s="5">
        <v>5</v>
      </c>
      <c r="F6" s="5">
        <v>67320</v>
      </c>
      <c r="G6" s="5">
        <v>5</v>
      </c>
      <c r="H6" s="5">
        <v>67320</v>
      </c>
    </row>
    <row r="7" spans="2:8" x14ac:dyDescent="0.3">
      <c r="B7" s="11" t="s">
        <v>147</v>
      </c>
      <c r="C7" s="11" t="s">
        <v>148</v>
      </c>
      <c r="D7" s="11" t="s">
        <v>149</v>
      </c>
      <c r="E7" s="5">
        <v>332</v>
      </c>
      <c r="F7" s="5">
        <v>3569910</v>
      </c>
      <c r="G7" s="5">
        <v>595</v>
      </c>
      <c r="H7" s="5">
        <v>6376620</v>
      </c>
    </row>
    <row r="8" spans="2:8" x14ac:dyDescent="0.3">
      <c r="B8" s="11" t="s">
        <v>147</v>
      </c>
      <c r="C8" s="11" t="s">
        <v>148</v>
      </c>
      <c r="D8" s="11" t="s">
        <v>150</v>
      </c>
      <c r="E8" s="5">
        <v>20</v>
      </c>
      <c r="F8" s="5">
        <v>606970</v>
      </c>
      <c r="G8" s="5">
        <v>47</v>
      </c>
      <c r="H8" s="5">
        <v>1280340</v>
      </c>
    </row>
    <row r="9" spans="2:8" x14ac:dyDescent="0.3">
      <c r="B9" s="11" t="s">
        <v>147</v>
      </c>
      <c r="C9" s="11" t="s">
        <v>148</v>
      </c>
      <c r="D9" s="11" t="s">
        <v>149</v>
      </c>
      <c r="E9" s="5">
        <v>838</v>
      </c>
      <c r="F9" s="5">
        <v>12506960</v>
      </c>
      <c r="G9" s="5">
        <v>1427</v>
      </c>
      <c r="H9" s="5">
        <v>18780310</v>
      </c>
    </row>
    <row r="10" spans="2:8" x14ac:dyDescent="0.3">
      <c r="B10" s="11" t="s">
        <v>147</v>
      </c>
      <c r="C10" s="11" t="s">
        <v>157</v>
      </c>
      <c r="D10" s="11" t="s">
        <v>150</v>
      </c>
      <c r="E10" s="5">
        <v>41</v>
      </c>
      <c r="F10" s="5">
        <v>973670</v>
      </c>
      <c r="G10" s="5">
        <v>41</v>
      </c>
      <c r="H10" s="5">
        <v>973670</v>
      </c>
    </row>
    <row r="11" spans="2:8" x14ac:dyDescent="0.3">
      <c r="B11" s="11" t="s">
        <v>151</v>
      </c>
      <c r="C11" s="11" t="s">
        <v>148</v>
      </c>
      <c r="D11" s="11" t="s">
        <v>149</v>
      </c>
      <c r="E11" s="5">
        <v>75</v>
      </c>
      <c r="F11" s="5">
        <v>2864690</v>
      </c>
      <c r="G11" s="5">
        <v>83</v>
      </c>
      <c r="H11" s="5">
        <v>3008490</v>
      </c>
    </row>
    <row r="12" spans="2:8" x14ac:dyDescent="0.3">
      <c r="B12" s="11" t="s">
        <v>151</v>
      </c>
      <c r="C12" s="11" t="s">
        <v>148</v>
      </c>
      <c r="D12" s="11" t="s">
        <v>150</v>
      </c>
      <c r="E12" s="5">
        <v>8</v>
      </c>
      <c r="F12" s="5">
        <v>125510</v>
      </c>
      <c r="G12" s="5">
        <v>16</v>
      </c>
      <c r="H12" s="5">
        <v>202400</v>
      </c>
    </row>
    <row r="13" spans="2:8" x14ac:dyDescent="0.3">
      <c r="B13" s="11" t="s">
        <v>151</v>
      </c>
      <c r="C13" s="11" t="s">
        <v>157</v>
      </c>
      <c r="D13" s="11" t="s">
        <v>149</v>
      </c>
      <c r="E13" s="5">
        <v>9</v>
      </c>
      <c r="F13" s="5">
        <v>175910</v>
      </c>
      <c r="G13" s="5">
        <v>9</v>
      </c>
      <c r="H13" s="5">
        <v>175910</v>
      </c>
    </row>
    <row r="14" spans="2:8" x14ac:dyDescent="0.3">
      <c r="B14" s="11" t="s">
        <v>154</v>
      </c>
      <c r="C14" s="11" t="s">
        <v>148</v>
      </c>
      <c r="D14" s="11" t="s">
        <v>149</v>
      </c>
      <c r="E14" s="5">
        <v>1</v>
      </c>
      <c r="F14" s="5">
        <v>11330</v>
      </c>
      <c r="G14" s="5">
        <v>1</v>
      </c>
      <c r="H14" s="5">
        <v>11330</v>
      </c>
    </row>
    <row r="15" spans="2:8" x14ac:dyDescent="0.3">
      <c r="B15" s="11" t="s">
        <v>154</v>
      </c>
      <c r="C15" s="11" t="s">
        <v>148</v>
      </c>
      <c r="D15" s="11" t="s">
        <v>150</v>
      </c>
      <c r="E15" s="5">
        <v>3</v>
      </c>
      <c r="F15" s="5">
        <v>75900</v>
      </c>
      <c r="G15" s="5">
        <v>3</v>
      </c>
      <c r="H15" s="5">
        <v>75900</v>
      </c>
    </row>
    <row r="16" spans="2:8" x14ac:dyDescent="0.3">
      <c r="B16" s="11" t="s">
        <v>152</v>
      </c>
      <c r="C16" s="11" t="s">
        <v>148</v>
      </c>
      <c r="D16" s="11" t="s">
        <v>149</v>
      </c>
      <c r="E16" s="5">
        <v>69</v>
      </c>
      <c r="F16" s="5">
        <v>2808260</v>
      </c>
      <c r="G16" s="5">
        <v>165</v>
      </c>
      <c r="H16" s="5">
        <v>4888710</v>
      </c>
    </row>
    <row r="17" spans="2:8" x14ac:dyDescent="0.3">
      <c r="B17" s="11" t="s">
        <v>152</v>
      </c>
      <c r="C17" s="11" t="s">
        <v>148</v>
      </c>
      <c r="D17" s="11" t="s">
        <v>150</v>
      </c>
      <c r="E17" s="5">
        <v>4</v>
      </c>
      <c r="F17" s="5">
        <v>7520</v>
      </c>
      <c r="G17" s="5">
        <v>18</v>
      </c>
      <c r="H17" s="5">
        <v>1556390</v>
      </c>
    </row>
    <row r="18" spans="2:8" x14ac:dyDescent="0.3">
      <c r="B18" s="11" t="s">
        <v>152</v>
      </c>
      <c r="C18" s="11" t="s">
        <v>148</v>
      </c>
      <c r="D18" s="11" t="s">
        <v>149</v>
      </c>
      <c r="E18" s="5">
        <v>121</v>
      </c>
      <c r="F18" s="5">
        <v>2731040</v>
      </c>
      <c r="G18" s="5">
        <v>283</v>
      </c>
      <c r="H18" s="5">
        <v>7422580</v>
      </c>
    </row>
    <row r="19" spans="2:8" x14ac:dyDescent="0.3">
      <c r="B19" s="11" t="s">
        <v>152</v>
      </c>
      <c r="C19" s="11" t="s">
        <v>157</v>
      </c>
      <c r="D19" s="11" t="s">
        <v>150</v>
      </c>
      <c r="E19" s="5">
        <v>26</v>
      </c>
      <c r="F19" s="5">
        <v>208480</v>
      </c>
      <c r="G19" s="5">
        <v>26</v>
      </c>
      <c r="H19" s="5">
        <v>208480</v>
      </c>
    </row>
    <row r="20" spans="2:8" x14ac:dyDescent="0.3">
      <c r="B20" s="11" t="s">
        <v>155</v>
      </c>
      <c r="C20" s="11" t="s">
        <v>148</v>
      </c>
      <c r="D20" s="11" t="s">
        <v>149</v>
      </c>
      <c r="E20" s="5">
        <v>4</v>
      </c>
      <c r="F20" s="5">
        <v>304430</v>
      </c>
      <c r="G20" s="5">
        <v>4</v>
      </c>
      <c r="H20" s="5">
        <v>304430</v>
      </c>
    </row>
    <row r="21" spans="2:8" x14ac:dyDescent="0.3">
      <c r="B21" s="11" t="s">
        <v>155</v>
      </c>
      <c r="C21" s="11" t="s">
        <v>157</v>
      </c>
      <c r="D21" s="11" t="s">
        <v>149</v>
      </c>
      <c r="E21" s="5">
        <v>11</v>
      </c>
      <c r="F21" s="5">
        <v>14428400</v>
      </c>
      <c r="G21" s="5">
        <v>11</v>
      </c>
      <c r="H21" s="5">
        <v>14428400</v>
      </c>
    </row>
  </sheetData>
  <sortState xmlns:xlrd2="http://schemas.microsoft.com/office/spreadsheetml/2017/richdata2" ref="B4:H21">
    <sortCondition ref="B4:B21"/>
  </sortState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B260D-7B25-4098-8FA5-EBA89E7CF69E}">
  <sheetPr codeName="Sheet6"/>
  <dimension ref="A1:I23"/>
  <sheetViews>
    <sheetView workbookViewId="0"/>
  </sheetViews>
  <sheetFormatPr defaultRowHeight="16.5" x14ac:dyDescent="0.3"/>
  <cols>
    <col min="1" max="1" width="10.375" customWidth="1"/>
    <col min="2" max="2" width="14" style="9" customWidth="1"/>
    <col min="3" max="3" width="14.125" style="9" customWidth="1"/>
    <col min="4" max="4" width="16.75" customWidth="1"/>
    <col min="5" max="5" width="6.875" customWidth="1"/>
    <col min="6" max="6" width="10.25" style="9" customWidth="1"/>
    <col min="7" max="8" width="12.625" style="9" customWidth="1"/>
    <col min="9" max="9" width="13.75" customWidth="1"/>
  </cols>
  <sheetData>
    <row r="1" spans="1:9" x14ac:dyDescent="0.3">
      <c r="B1"/>
      <c r="C1"/>
      <c r="F1"/>
      <c r="G1"/>
      <c r="H1"/>
    </row>
    <row r="2" spans="1:9" ht="17.25" x14ac:dyDescent="0.3">
      <c r="A2" s="29" t="s">
        <v>161</v>
      </c>
      <c r="B2" s="3"/>
      <c r="C2" s="3"/>
      <c r="D2" s="3"/>
      <c r="F2" t="s">
        <v>1</v>
      </c>
      <c r="G2"/>
      <c r="H2"/>
    </row>
    <row r="3" spans="1:9" x14ac:dyDescent="0.3">
      <c r="A3" s="32" t="s">
        <v>136</v>
      </c>
      <c r="B3" s="32" t="s">
        <v>139</v>
      </c>
      <c r="C3" s="32" t="s">
        <v>140</v>
      </c>
      <c r="D3" s="32" t="s">
        <v>141</v>
      </c>
      <c r="F3" s="32" t="s">
        <v>136</v>
      </c>
      <c r="G3" s="32" t="s">
        <v>139</v>
      </c>
      <c r="H3" s="32" t="s">
        <v>140</v>
      </c>
      <c r="I3" s="32" t="s">
        <v>141</v>
      </c>
    </row>
    <row r="4" spans="1:9" x14ac:dyDescent="0.3">
      <c r="A4" s="30" t="s">
        <v>137</v>
      </c>
      <c r="B4" s="31">
        <v>4.2000000000000003E-2</v>
      </c>
      <c r="C4" s="31">
        <v>3.5000000000000003E-2</v>
      </c>
      <c r="D4" s="31">
        <v>2.3E-2</v>
      </c>
      <c r="F4" s="30"/>
      <c r="G4" s="8"/>
      <c r="H4" s="8"/>
      <c r="I4" s="8"/>
    </row>
    <row r="5" spans="1:9" x14ac:dyDescent="0.3">
      <c r="A5" s="30" t="s">
        <v>138</v>
      </c>
      <c r="B5" s="31">
        <v>5.6000000000000001E-2</v>
      </c>
      <c r="C5" s="31">
        <v>5.3999999999999999E-2</v>
      </c>
      <c r="D5" s="31">
        <v>0.04</v>
      </c>
      <c r="F5" s="30"/>
      <c r="G5" s="8"/>
      <c r="H5" s="8"/>
      <c r="I5" s="8"/>
    </row>
    <row r="6" spans="1:9" x14ac:dyDescent="0.3">
      <c r="A6" s="30" t="s">
        <v>164</v>
      </c>
      <c r="B6" s="31">
        <v>2.7E-2</v>
      </c>
      <c r="C6" s="31">
        <v>2.8000000000000001E-2</v>
      </c>
      <c r="D6" s="31">
        <v>8.0000000000000002E-3</v>
      </c>
      <c r="F6"/>
      <c r="G6"/>
      <c r="H6"/>
    </row>
    <row r="7" spans="1:9" x14ac:dyDescent="0.3">
      <c r="A7" s="30" t="s">
        <v>165</v>
      </c>
      <c r="B7" s="31">
        <v>3.4000000000000002E-2</v>
      </c>
      <c r="C7" s="31">
        <v>0.04</v>
      </c>
      <c r="D7" s="31">
        <v>2.5000000000000001E-2</v>
      </c>
      <c r="F7"/>
      <c r="G7"/>
      <c r="H7"/>
    </row>
    <row r="8" spans="1:9" x14ac:dyDescent="0.3">
      <c r="A8" s="3"/>
      <c r="B8" s="3"/>
      <c r="C8" s="3"/>
      <c r="D8" s="3"/>
      <c r="F8"/>
      <c r="G8"/>
      <c r="H8"/>
    </row>
    <row r="9" spans="1:9" ht="17.25" x14ac:dyDescent="0.3">
      <c r="A9" s="29" t="s">
        <v>162</v>
      </c>
      <c r="B9" s="3"/>
      <c r="C9" s="3"/>
      <c r="D9" s="3"/>
      <c r="F9"/>
      <c r="G9"/>
      <c r="H9"/>
    </row>
    <row r="10" spans="1:9" x14ac:dyDescent="0.3">
      <c r="A10" s="32" t="s">
        <v>136</v>
      </c>
      <c r="B10" s="32" t="s">
        <v>139</v>
      </c>
      <c r="C10" s="32" t="s">
        <v>140</v>
      </c>
      <c r="D10" s="32" t="s">
        <v>141</v>
      </c>
      <c r="F10"/>
      <c r="G10"/>
      <c r="H10"/>
    </row>
    <row r="11" spans="1:9" x14ac:dyDescent="0.3">
      <c r="A11" s="30" t="s">
        <v>137</v>
      </c>
      <c r="B11" s="31">
        <v>3.1E-2</v>
      </c>
      <c r="C11" s="31">
        <v>3.7999999999999999E-2</v>
      </c>
      <c r="D11" s="31">
        <v>2.5000000000000001E-2</v>
      </c>
      <c r="F11"/>
      <c r="G11"/>
      <c r="H11"/>
    </row>
    <row r="12" spans="1:9" x14ac:dyDescent="0.3">
      <c r="A12" s="30" t="s">
        <v>138</v>
      </c>
      <c r="B12" s="31">
        <v>3.2000000000000001E-2</v>
      </c>
      <c r="C12" s="31">
        <v>5.1999999999999998E-2</v>
      </c>
      <c r="D12" s="31">
        <v>3.5000000000000003E-2</v>
      </c>
      <c r="F12"/>
      <c r="G12"/>
      <c r="H12"/>
    </row>
    <row r="13" spans="1:9" x14ac:dyDescent="0.3">
      <c r="A13" s="30" t="s">
        <v>164</v>
      </c>
      <c r="B13" s="31">
        <v>1.4999999999999999E-2</v>
      </c>
      <c r="C13" s="31">
        <v>2.5999999999999999E-2</v>
      </c>
      <c r="D13" s="31">
        <v>0.01</v>
      </c>
      <c r="F13"/>
      <c r="G13"/>
      <c r="H13"/>
    </row>
    <row r="14" spans="1:9" x14ac:dyDescent="0.3">
      <c r="A14" s="30" t="s">
        <v>165</v>
      </c>
      <c r="B14" s="31">
        <v>2.3E-2</v>
      </c>
      <c r="C14" s="31">
        <v>3.9E-2</v>
      </c>
      <c r="D14" s="31">
        <v>0.02</v>
      </c>
      <c r="F14"/>
      <c r="G14"/>
      <c r="H14"/>
    </row>
    <row r="15" spans="1:9" x14ac:dyDescent="0.3">
      <c r="A15" s="3"/>
      <c r="B15" s="3"/>
      <c r="C15" s="3"/>
      <c r="D15" s="3"/>
      <c r="F15"/>
      <c r="G15"/>
      <c r="H15"/>
    </row>
    <row r="16" spans="1:9" ht="18.600000000000001" customHeight="1" x14ac:dyDescent="0.3">
      <c r="A16" s="29" t="s">
        <v>163</v>
      </c>
      <c r="B16" s="3"/>
      <c r="C16" s="3"/>
      <c r="D16" s="3"/>
      <c r="F16"/>
      <c r="G16"/>
      <c r="H16"/>
    </row>
    <row r="17" spans="1:8" x14ac:dyDescent="0.3">
      <c r="A17" s="32" t="s">
        <v>136</v>
      </c>
      <c r="B17" s="32" t="s">
        <v>139</v>
      </c>
      <c r="C17" s="32" t="s">
        <v>140</v>
      </c>
      <c r="D17" s="32" t="s">
        <v>141</v>
      </c>
      <c r="F17"/>
      <c r="G17"/>
      <c r="H17"/>
    </row>
    <row r="18" spans="1:8" x14ac:dyDescent="0.3">
      <c r="A18" s="30" t="s">
        <v>137</v>
      </c>
      <c r="B18" s="31">
        <v>2.5000000000000001E-2</v>
      </c>
      <c r="C18" s="31">
        <v>3.5999999999999997E-2</v>
      </c>
      <c r="D18" s="31">
        <v>0.03</v>
      </c>
      <c r="F18"/>
      <c r="G18"/>
      <c r="H18"/>
    </row>
    <row r="19" spans="1:8" x14ac:dyDescent="0.3">
      <c r="A19" s="30" t="s">
        <v>138</v>
      </c>
      <c r="B19" s="31">
        <v>0.02</v>
      </c>
      <c r="C19" s="31">
        <v>4.8000000000000001E-2</v>
      </c>
      <c r="D19" s="31">
        <v>3.2000000000000001E-2</v>
      </c>
      <c r="F19"/>
      <c r="G19"/>
      <c r="H19"/>
    </row>
    <row r="20" spans="1:8" x14ac:dyDescent="0.3">
      <c r="A20" s="30" t="s">
        <v>164</v>
      </c>
      <c r="B20" s="31">
        <v>1.2999999999999999E-2</v>
      </c>
      <c r="C20" s="31">
        <v>2.5000000000000001E-2</v>
      </c>
      <c r="D20" s="31">
        <v>1.2E-2</v>
      </c>
      <c r="F20"/>
      <c r="G20"/>
      <c r="H20"/>
    </row>
    <row r="21" spans="1:8" x14ac:dyDescent="0.3">
      <c r="A21" s="30" t="s">
        <v>165</v>
      </c>
      <c r="B21" s="31">
        <v>1.7999999999999999E-2</v>
      </c>
      <c r="C21" s="31">
        <v>4.1000000000000002E-2</v>
      </c>
      <c r="D21" s="31">
        <v>2.8000000000000001E-2</v>
      </c>
      <c r="F21"/>
      <c r="G21"/>
      <c r="H21"/>
    </row>
    <row r="22" spans="1:8" x14ac:dyDescent="0.3">
      <c r="B22"/>
      <c r="C22"/>
      <c r="F22"/>
      <c r="G22"/>
      <c r="H22"/>
    </row>
    <row r="23" spans="1:8" x14ac:dyDescent="0.3">
      <c r="B23"/>
      <c r="C23"/>
      <c r="F23"/>
      <c r="G23"/>
      <c r="H23"/>
    </row>
  </sheetData>
  <sortState xmlns:xlrd2="http://schemas.microsoft.com/office/spreadsheetml/2017/richdata2" ref="A3:H12">
    <sortCondition ref="B3:B12"/>
  </sortState>
  <dataConsolidate/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717A9-72A7-4162-A0F4-10D92AE87FDB}">
  <sheetPr codeName="Sheet7"/>
  <dimension ref="A1:G15"/>
  <sheetViews>
    <sheetView workbookViewId="0"/>
  </sheetViews>
  <sheetFormatPr defaultRowHeight="16.5" x14ac:dyDescent="0.3"/>
  <cols>
    <col min="1" max="4" width="12.625" customWidth="1"/>
    <col min="5" max="5" width="9.5" customWidth="1"/>
    <col min="6" max="6" width="14.125" customWidth="1"/>
    <col min="7" max="7" width="11.25" customWidth="1"/>
    <col min="8" max="8" width="11.75" customWidth="1"/>
  </cols>
  <sheetData>
    <row r="1" spans="1:7" ht="26.25" x14ac:dyDescent="0.5">
      <c r="A1" s="2" t="s">
        <v>73</v>
      </c>
      <c r="B1" s="2"/>
      <c r="C1" s="2"/>
      <c r="D1" s="2"/>
      <c r="E1" s="2"/>
    </row>
    <row r="2" spans="1:7" x14ac:dyDescent="0.3">
      <c r="A2" s="3"/>
      <c r="B2" s="3"/>
      <c r="C2" s="3"/>
      <c r="D2" s="3"/>
    </row>
    <row r="3" spans="1:7" ht="17.45" customHeight="1" x14ac:dyDescent="0.3">
      <c r="A3" s="33" t="s">
        <v>57</v>
      </c>
      <c r="B3" s="33" t="s">
        <v>67</v>
      </c>
      <c r="C3" s="33" t="s">
        <v>68</v>
      </c>
      <c r="D3" s="33" t="s">
        <v>69</v>
      </c>
      <c r="E3" s="33" t="s">
        <v>70</v>
      </c>
      <c r="F3" s="33" t="s">
        <v>71</v>
      </c>
      <c r="G3" s="33" t="s">
        <v>72</v>
      </c>
    </row>
    <row r="4" spans="1:7" ht="17.45" customHeight="1" x14ac:dyDescent="0.3">
      <c r="A4" s="30" t="s">
        <v>58</v>
      </c>
      <c r="B4" s="30" t="s">
        <v>60</v>
      </c>
      <c r="C4" s="34">
        <v>38</v>
      </c>
      <c r="D4" s="34">
        <v>12</v>
      </c>
      <c r="E4" s="34">
        <v>2</v>
      </c>
      <c r="F4" s="34">
        <v>1</v>
      </c>
      <c r="G4" s="34"/>
    </row>
    <row r="5" spans="1:7" ht="17.45" customHeight="1" x14ac:dyDescent="0.3">
      <c r="A5" s="30" t="s">
        <v>58</v>
      </c>
      <c r="B5" s="30" t="s">
        <v>61</v>
      </c>
      <c r="C5" s="34">
        <v>43</v>
      </c>
      <c r="D5" s="34">
        <v>118</v>
      </c>
      <c r="E5" s="34">
        <v>133</v>
      </c>
      <c r="F5" s="34">
        <v>616</v>
      </c>
      <c r="G5" s="34"/>
    </row>
    <row r="6" spans="1:7" ht="17.45" customHeight="1" x14ac:dyDescent="0.3">
      <c r="A6" s="30" t="s">
        <v>58</v>
      </c>
      <c r="B6" s="30" t="s">
        <v>62</v>
      </c>
      <c r="C6" s="34">
        <v>2</v>
      </c>
      <c r="D6" s="34">
        <v>2</v>
      </c>
      <c r="E6" s="34">
        <v>0</v>
      </c>
      <c r="F6" s="34">
        <v>0</v>
      </c>
      <c r="G6" s="34"/>
    </row>
    <row r="7" spans="1:7" ht="17.45" customHeight="1" x14ac:dyDescent="0.3">
      <c r="A7" s="30" t="s">
        <v>58</v>
      </c>
      <c r="B7" s="30" t="s">
        <v>63</v>
      </c>
      <c r="C7" s="34">
        <v>38</v>
      </c>
      <c r="D7" s="34">
        <v>34</v>
      </c>
      <c r="E7" s="34">
        <v>2</v>
      </c>
      <c r="F7" s="34">
        <v>1</v>
      </c>
      <c r="G7" s="34"/>
    </row>
    <row r="8" spans="1:7" ht="17.45" customHeight="1" x14ac:dyDescent="0.3">
      <c r="A8" s="30" t="s">
        <v>58</v>
      </c>
      <c r="B8" s="30" t="s">
        <v>64</v>
      </c>
      <c r="C8" s="34">
        <v>43</v>
      </c>
      <c r="D8" s="34">
        <v>79</v>
      </c>
      <c r="E8" s="34">
        <v>36</v>
      </c>
      <c r="F8" s="34">
        <v>2</v>
      </c>
      <c r="G8" s="34"/>
    </row>
    <row r="9" spans="1:7" ht="17.45" customHeight="1" x14ac:dyDescent="0.3">
      <c r="A9" s="30" t="s">
        <v>58</v>
      </c>
      <c r="B9" s="30" t="s">
        <v>65</v>
      </c>
      <c r="C9" s="34">
        <v>22</v>
      </c>
      <c r="D9" s="34">
        <v>1</v>
      </c>
      <c r="E9" s="34">
        <v>2</v>
      </c>
      <c r="F9" s="34">
        <v>0</v>
      </c>
      <c r="G9" s="34"/>
    </row>
    <row r="10" spans="1:7" ht="17.45" customHeight="1" x14ac:dyDescent="0.3">
      <c r="A10" s="30" t="s">
        <v>59</v>
      </c>
      <c r="B10" s="30" t="s">
        <v>66</v>
      </c>
      <c r="C10" s="34">
        <v>0</v>
      </c>
      <c r="D10" s="34">
        <v>0</v>
      </c>
      <c r="E10" s="34">
        <v>1</v>
      </c>
      <c r="F10" s="34">
        <v>0</v>
      </c>
      <c r="G10" s="34"/>
    </row>
    <row r="11" spans="1:7" ht="17.45" customHeight="1" x14ac:dyDescent="0.3">
      <c r="A11" s="30" t="s">
        <v>59</v>
      </c>
      <c r="B11" s="30" t="s">
        <v>63</v>
      </c>
      <c r="C11" s="34">
        <v>10</v>
      </c>
      <c r="D11" s="34">
        <v>5</v>
      </c>
      <c r="E11" s="34">
        <v>6</v>
      </c>
      <c r="F11" s="34">
        <v>0</v>
      </c>
      <c r="G11" s="34"/>
    </row>
    <row r="12" spans="1:7" ht="17.45" customHeight="1" x14ac:dyDescent="0.3">
      <c r="A12" s="30" t="s">
        <v>59</v>
      </c>
      <c r="B12" s="30" t="s">
        <v>65</v>
      </c>
      <c r="C12" s="34">
        <v>68</v>
      </c>
      <c r="D12" s="34">
        <v>26</v>
      </c>
      <c r="E12" s="34">
        <v>10</v>
      </c>
      <c r="F12" s="34">
        <v>1</v>
      </c>
      <c r="G12" s="34"/>
    </row>
    <row r="13" spans="1:7" ht="17.45" customHeight="1" x14ac:dyDescent="0.3">
      <c r="A13" s="30" t="s">
        <v>59</v>
      </c>
      <c r="B13" s="30" t="s">
        <v>61</v>
      </c>
      <c r="C13" s="34">
        <v>20</v>
      </c>
      <c r="D13" s="34">
        <v>96</v>
      </c>
      <c r="E13" s="34">
        <v>153</v>
      </c>
      <c r="F13" s="35">
        <v>1837</v>
      </c>
      <c r="G13" s="34"/>
    </row>
    <row r="14" spans="1:7" ht="17.45" customHeight="1" x14ac:dyDescent="0.3">
      <c r="A14" s="30" t="s">
        <v>59</v>
      </c>
      <c r="B14" s="30" t="s">
        <v>64</v>
      </c>
      <c r="C14" s="34">
        <v>1</v>
      </c>
      <c r="D14" s="34">
        <v>3</v>
      </c>
      <c r="E14" s="34">
        <v>1</v>
      </c>
      <c r="F14" s="34">
        <v>0</v>
      </c>
      <c r="G14" s="34"/>
    </row>
    <row r="15" spans="1:7" ht="17.45" customHeight="1" x14ac:dyDescent="0.3">
      <c r="A15" s="33" t="s">
        <v>59</v>
      </c>
      <c r="B15" s="33" t="s">
        <v>60</v>
      </c>
      <c r="C15" s="36">
        <v>4</v>
      </c>
      <c r="D15" s="36">
        <v>0</v>
      </c>
      <c r="E15" s="36">
        <v>0</v>
      </c>
      <c r="F15" s="36">
        <v>0</v>
      </c>
      <c r="G15" s="34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165CE-BBB4-4FB9-A2FB-E718A259B54D}">
  <dimension ref="B1:G13"/>
  <sheetViews>
    <sheetView topLeftCell="A10" workbookViewId="0"/>
  </sheetViews>
  <sheetFormatPr defaultRowHeight="16.5" x14ac:dyDescent="0.3"/>
  <cols>
    <col min="1" max="1" width="5.75" customWidth="1"/>
    <col min="2" max="2" width="15.5" customWidth="1"/>
    <col min="3" max="4" width="11.25" customWidth="1"/>
    <col min="5" max="5" width="13.375" customWidth="1"/>
    <col min="6" max="6" width="11.25" customWidth="1"/>
    <col min="7" max="7" width="11.125" customWidth="1"/>
    <col min="8" max="9" width="14.75" customWidth="1"/>
  </cols>
  <sheetData>
    <row r="1" spans="2:7" ht="20.25" x14ac:dyDescent="0.3">
      <c r="B1" s="25" t="s">
        <v>80</v>
      </c>
    </row>
    <row r="3" spans="2:7" ht="49.5" x14ac:dyDescent="0.3">
      <c r="B3" s="24" t="s">
        <v>4</v>
      </c>
      <c r="C3" s="24" t="s">
        <v>75</v>
      </c>
      <c r="D3" s="24" t="s">
        <v>76</v>
      </c>
      <c r="E3" s="24" t="s">
        <v>77</v>
      </c>
      <c r="F3" s="24" t="s">
        <v>78</v>
      </c>
      <c r="G3" s="24" t="s">
        <v>79</v>
      </c>
    </row>
    <row r="4" spans="2:7" x14ac:dyDescent="0.3">
      <c r="B4" s="15">
        <v>46082</v>
      </c>
      <c r="C4" s="14">
        <v>75</v>
      </c>
      <c r="D4" s="14">
        <v>145</v>
      </c>
      <c r="E4" s="14">
        <v>120</v>
      </c>
      <c r="F4" s="14">
        <v>120</v>
      </c>
      <c r="G4" s="14">
        <v>80</v>
      </c>
    </row>
    <row r="5" spans="2:7" x14ac:dyDescent="0.3">
      <c r="B5" s="15">
        <v>46083</v>
      </c>
      <c r="C5" s="14">
        <v>98</v>
      </c>
      <c r="D5" s="14">
        <v>155</v>
      </c>
      <c r="E5" s="14">
        <v>130</v>
      </c>
      <c r="F5" s="14">
        <v>125</v>
      </c>
      <c r="G5" s="14">
        <v>82</v>
      </c>
    </row>
    <row r="6" spans="2:7" x14ac:dyDescent="0.3">
      <c r="B6" s="15">
        <v>46084</v>
      </c>
      <c r="C6" s="14">
        <v>92</v>
      </c>
      <c r="D6" s="14">
        <v>140</v>
      </c>
      <c r="E6" s="14">
        <v>125</v>
      </c>
      <c r="F6" s="14">
        <v>130</v>
      </c>
      <c r="G6" s="14">
        <v>85</v>
      </c>
    </row>
    <row r="7" spans="2:7" x14ac:dyDescent="0.3">
      <c r="B7" s="15">
        <v>46085</v>
      </c>
      <c r="C7" s="14">
        <v>140</v>
      </c>
      <c r="D7" s="14">
        <v>160</v>
      </c>
      <c r="E7" s="14">
        <v>140</v>
      </c>
      <c r="F7" s="14">
        <v>135</v>
      </c>
      <c r="G7" s="14">
        <v>88</v>
      </c>
    </row>
    <row r="8" spans="2:7" x14ac:dyDescent="0.3">
      <c r="B8" s="15">
        <v>46086</v>
      </c>
      <c r="C8" s="14">
        <v>90</v>
      </c>
      <c r="D8" s="14">
        <v>135</v>
      </c>
      <c r="E8" s="14">
        <v>120</v>
      </c>
      <c r="F8" s="14">
        <v>125</v>
      </c>
      <c r="G8" s="14">
        <v>80</v>
      </c>
    </row>
    <row r="9" spans="2:7" x14ac:dyDescent="0.3">
      <c r="B9" s="15">
        <v>46087</v>
      </c>
      <c r="C9" s="14">
        <v>95</v>
      </c>
      <c r="D9" s="14">
        <v>150</v>
      </c>
      <c r="E9" s="14">
        <v>130</v>
      </c>
      <c r="F9" s="14">
        <v>130</v>
      </c>
      <c r="G9" s="14">
        <v>82</v>
      </c>
    </row>
    <row r="10" spans="2:7" x14ac:dyDescent="0.3">
      <c r="B10" s="15">
        <v>46088</v>
      </c>
      <c r="C10" s="14">
        <v>85</v>
      </c>
      <c r="D10" s="14">
        <v>130</v>
      </c>
      <c r="E10" s="14">
        <v>115</v>
      </c>
      <c r="F10" s="14">
        <v>120</v>
      </c>
      <c r="G10" s="14">
        <v>78</v>
      </c>
    </row>
    <row r="11" spans="2:7" x14ac:dyDescent="0.3">
      <c r="B11" s="15">
        <v>46089</v>
      </c>
      <c r="C11" s="14">
        <v>105</v>
      </c>
      <c r="D11" s="14">
        <v>170</v>
      </c>
      <c r="E11" s="14">
        <v>145</v>
      </c>
      <c r="F11" s="14">
        <v>180</v>
      </c>
      <c r="G11" s="14">
        <v>90</v>
      </c>
    </row>
    <row r="12" spans="2:7" x14ac:dyDescent="0.3">
      <c r="B12" s="15">
        <v>46090</v>
      </c>
      <c r="C12" s="14">
        <v>92</v>
      </c>
      <c r="D12" s="14">
        <v>145</v>
      </c>
      <c r="E12" s="14">
        <v>125</v>
      </c>
      <c r="F12" s="14">
        <v>128</v>
      </c>
      <c r="G12" s="14">
        <v>82</v>
      </c>
    </row>
    <row r="13" spans="2:7" x14ac:dyDescent="0.3">
      <c r="B13" s="15">
        <v>46091</v>
      </c>
      <c r="C13" s="14">
        <v>170</v>
      </c>
      <c r="D13" s="14">
        <v>155</v>
      </c>
      <c r="E13" s="14">
        <v>135</v>
      </c>
      <c r="F13" s="14">
        <v>132</v>
      </c>
      <c r="G13" s="14">
        <v>84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'기본작업-3'!Criteria</vt:lpstr>
      <vt:lpstr>'기본작업-3'!Extract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서미경</dc:creator>
  <cp:lastModifiedBy>mbc</cp:lastModifiedBy>
  <dcterms:created xsi:type="dcterms:W3CDTF">2023-03-19T01:30:18Z</dcterms:created>
  <dcterms:modified xsi:type="dcterms:W3CDTF">2026-07-22T12:53:41Z</dcterms:modified>
</cp:coreProperties>
</file>
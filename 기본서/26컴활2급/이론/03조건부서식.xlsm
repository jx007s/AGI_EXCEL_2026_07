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D6BE7D56-69E9-4AD8-BDA0-FB968071808A}" xr6:coauthVersionLast="47" xr6:coauthVersionMax="47" xr10:uidLastSave="{00000000-0000-0000-0000-000000000000}"/>
  <bookViews>
    <workbookView xWindow="22932" yWindow="-108" windowWidth="23256" windowHeight="12576" activeTab="4" xr2:uid="{00000000-000D-0000-FFFF-FFFF00000000}"/>
  </bookViews>
  <sheets>
    <sheet name="수식" sheetId="7" r:id="rId1"/>
    <sheet name="문자열" sheetId="8" r:id="rId2"/>
    <sheet name="조건부1" sheetId="4" r:id="rId3"/>
    <sheet name="조건부1(결과)" sheetId="1" r:id="rId4"/>
    <sheet name="조건부2" sheetId="5" r:id="rId5"/>
    <sheet name="조건부2(결과)" sheetId="2" r:id="rId6"/>
    <sheet name="조건부3" sheetId="6" r:id="rId7"/>
    <sheet name="조건부3(결과)" sheetId="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7" i="8" l="1"/>
  <c r="H27" i="8"/>
  <c r="G28" i="8"/>
  <c r="H28" i="8"/>
  <c r="G29" i="8"/>
  <c r="H29" i="8"/>
  <c r="G30" i="8"/>
  <c r="H30" i="8"/>
  <c r="F28" i="8"/>
  <c r="F29" i="8"/>
  <c r="F30" i="8"/>
  <c r="F27" i="8"/>
  <c r="D19" i="8"/>
  <c r="D20" i="8"/>
  <c r="D21" i="8"/>
  <c r="D22" i="8"/>
  <c r="D23" i="8"/>
  <c r="D24" i="8"/>
  <c r="D25" i="8"/>
  <c r="D18" i="8"/>
  <c r="C19" i="8"/>
  <c r="C20" i="8"/>
  <c r="C21" i="8"/>
  <c r="C22" i="8"/>
  <c r="C23" i="8"/>
  <c r="C24" i="8"/>
  <c r="C25" i="8"/>
  <c r="C18" i="8"/>
  <c r="B8" i="8"/>
  <c r="B6" i="8"/>
  <c r="B4" i="8"/>
  <c r="B57" i="7"/>
  <c r="B58" i="7" s="1"/>
  <c r="B59" i="7" s="1" a="1"/>
  <c r="B59" i="7" s="1"/>
  <c r="C51" i="7" a="1"/>
  <c r="C51" i="7" s="1"/>
  <c r="C50" i="7"/>
  <c r="C47" i="7" a="1"/>
  <c r="C47" i="7" s="1"/>
  <c r="C46" i="7"/>
  <c r="B44" i="7" a="1"/>
  <c r="B44" i="7" s="1"/>
  <c r="B41" i="7" a="1"/>
  <c r="B41" i="7" s="1"/>
  <c r="B38" i="7" a="1"/>
  <c r="B38" i="7" s="1"/>
  <c r="B34" i="7"/>
  <c r="B33" i="7"/>
  <c r="B31" i="7"/>
  <c r="F28" i="7"/>
  <c r="F27" i="7"/>
  <c r="C25" i="7"/>
  <c r="C24" i="7"/>
  <c r="I19" i="7"/>
  <c r="G19" i="7"/>
  <c r="D19" i="7"/>
  <c r="B19" i="7"/>
  <c r="G13" i="7"/>
  <c r="F13" i="7"/>
  <c r="E13" i="7"/>
  <c r="D13" i="7"/>
  <c r="C13" i="7"/>
  <c r="B13" i="7"/>
  <c r="F7" i="7"/>
  <c r="E7" i="7"/>
  <c r="D7" i="7"/>
  <c r="C7" i="7"/>
  <c r="B7" i="7"/>
  <c r="D3" i="7"/>
  <c r="B2" i="7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G9" i="5"/>
  <c r="F9" i="5"/>
  <c r="F8" i="5"/>
  <c r="G8" i="5" s="1"/>
  <c r="F7" i="5"/>
  <c r="G7" i="5" s="1"/>
  <c r="F6" i="5"/>
  <c r="G6" i="5" s="1"/>
  <c r="F5" i="5"/>
  <c r="G5" i="5" s="1"/>
  <c r="F4" i="5"/>
  <c r="G4" i="5" s="1"/>
  <c r="F18" i="4"/>
  <c r="D18" i="4"/>
  <c r="H18" i="4" s="1"/>
  <c r="F17" i="4"/>
  <c r="D17" i="4"/>
  <c r="H17" i="4" s="1"/>
  <c r="F16" i="4"/>
  <c r="D16" i="4"/>
  <c r="F15" i="4"/>
  <c r="D15" i="4"/>
  <c r="H15" i="4" s="1"/>
  <c r="F14" i="4"/>
  <c r="H14" i="4" s="1"/>
  <c r="D14" i="4"/>
  <c r="H13" i="4"/>
  <c r="F13" i="4"/>
  <c r="D13" i="4"/>
  <c r="F12" i="4"/>
  <c r="D12" i="4"/>
  <c r="H12" i="4" s="1"/>
  <c r="F11" i="4"/>
  <c r="D11" i="4"/>
  <c r="H11" i="4" s="1"/>
  <c r="F10" i="4"/>
  <c r="D10" i="4"/>
  <c r="F9" i="4"/>
  <c r="D9" i="4"/>
  <c r="H9" i="4" s="1"/>
  <c r="F8" i="4"/>
  <c r="D8" i="4"/>
  <c r="F7" i="4"/>
  <c r="D7" i="4"/>
  <c r="H7" i="4" s="1"/>
  <c r="F6" i="4"/>
  <c r="D6" i="4"/>
  <c r="H5" i="4"/>
  <c r="F5" i="4"/>
  <c r="D5" i="4"/>
  <c r="F4" i="4"/>
  <c r="D4" i="4"/>
  <c r="H4" i="4" s="1"/>
  <c r="C28" i="7" l="1"/>
  <c r="C27" i="7"/>
  <c r="H6" i="4"/>
  <c r="H8" i="4"/>
  <c r="H16" i="4"/>
  <c r="H10" i="4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18" i="1"/>
  <c r="D18" i="1"/>
  <c r="H18" i="1" s="1"/>
  <c r="F17" i="1"/>
  <c r="D17" i="1"/>
  <c r="H17" i="1" s="1"/>
  <c r="F16" i="1"/>
  <c r="D16" i="1"/>
  <c r="H16" i="1" s="1"/>
  <c r="F15" i="1"/>
  <c r="D15" i="1"/>
  <c r="H15" i="1" s="1"/>
  <c r="F14" i="1"/>
  <c r="D14" i="1"/>
  <c r="F13" i="1"/>
  <c r="D13" i="1"/>
  <c r="H13" i="1" s="1"/>
  <c r="F12" i="1"/>
  <c r="D12" i="1"/>
  <c r="H12" i="1" s="1"/>
  <c r="F11" i="1"/>
  <c r="D11" i="1"/>
  <c r="F10" i="1"/>
  <c r="D10" i="1"/>
  <c r="H10" i="1" s="1"/>
  <c r="F9" i="1"/>
  <c r="D9" i="1"/>
  <c r="H9" i="1" s="1"/>
  <c r="F8" i="1"/>
  <c r="D8" i="1"/>
  <c r="H8" i="1" s="1"/>
  <c r="F7" i="1"/>
  <c r="D7" i="1"/>
  <c r="F6" i="1"/>
  <c r="D6" i="1"/>
  <c r="H6" i="1" s="1"/>
  <c r="F5" i="1"/>
  <c r="D5" i="1"/>
  <c r="H5" i="1" s="1"/>
  <c r="F4" i="1"/>
  <c r="D4" i="1"/>
  <c r="H4" i="1" s="1"/>
  <c r="H11" i="1" l="1"/>
  <c r="H14" i="1"/>
  <c r="H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<sst xmlns="http://schemas.openxmlformats.org/spreadsheetml/2006/main" count="325" uniqueCount="201">
  <si>
    <t>교양과목 성적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</si>
  <si>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</si>
  <si>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</si>
  <si>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</si>
  <si>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</si>
  <si>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</si>
  <si>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</si>
  <si>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</si>
  <si>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</si>
  <si>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이대훈</t>
    <phoneticPr fontId="2" type="noConversion"/>
  </si>
  <si>
    <t>전세인</t>
  </si>
  <si>
    <t>이송희</t>
    <phoneticPr fontId="2" type="noConversion"/>
  </si>
  <si>
    <t>전은지</t>
  </si>
  <si>
    <t>이지수</t>
    <phoneticPr fontId="2" type="noConversion"/>
  </si>
  <si>
    <t>유병재</t>
  </si>
  <si>
    <t>유준희</t>
  </si>
  <si>
    <t>유하늘</t>
  </si>
  <si>
    <t>강경문</t>
    <phoneticPr fontId="2" type="noConversion"/>
  </si>
  <si>
    <t>김다정</t>
  </si>
  <si>
    <t>김종희</t>
  </si>
  <si>
    <t>고천규</t>
  </si>
  <si>
    <t>고태헌</t>
  </si>
  <si>
    <t>황서현</t>
  </si>
  <si>
    <t>박주희</t>
  </si>
  <si>
    <t>사번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</si>
  <si>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</si>
  <si>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</si>
  <si>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</si>
  <si>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제수당</t>
    <phoneticPr fontId="2" type="noConversion"/>
  </si>
  <si>
    <t>상여금</t>
    <phoneticPr fontId="2" type="noConversion"/>
  </si>
  <si>
    <t>총급여</t>
    <phoneticPr fontId="2" type="noConversion"/>
  </si>
  <si>
    <t>YJ01-023</t>
  </si>
  <si>
    <t>김윤필</t>
  </si>
  <si>
    <t>부장</t>
    <phoneticPr fontId="2" type="noConversion"/>
  </si>
  <si>
    <t>YJ04-012</t>
  </si>
  <si>
    <t>이일형</t>
  </si>
  <si>
    <t>과장</t>
    <phoneticPr fontId="2" type="noConversion"/>
  </si>
  <si>
    <t>YJ11-002</t>
  </si>
  <si>
    <t>윤선영</t>
  </si>
  <si>
    <t>차장</t>
  </si>
  <si>
    <t>YJ10-021</t>
  </si>
  <si>
    <t>박김준</t>
  </si>
  <si>
    <t>대리</t>
  </si>
  <si>
    <t>YJ09-015</t>
  </si>
  <si>
    <t>최세연</t>
    <phoneticPr fontId="2" type="noConversion"/>
  </si>
  <si>
    <t>차장</t>
    <phoneticPr fontId="2" type="noConversion"/>
  </si>
  <si>
    <t>YJ13-007</t>
  </si>
  <si>
    <t>장태현</t>
    <phoneticPr fontId="2" type="noConversion"/>
  </si>
  <si>
    <t>사원</t>
    <phoneticPr fontId="2" type="noConversion"/>
  </si>
  <si>
    <t>YJ06-019</t>
  </si>
  <si>
    <t>유양선</t>
  </si>
  <si>
    <t>YJ08-004</t>
  </si>
  <si>
    <t>강종현</t>
  </si>
  <si>
    <t>대리</t>
    <phoneticPr fontId="2" type="noConversion"/>
  </si>
  <si>
    <t>YJ12-031</t>
  </si>
  <si>
    <t>김이리</t>
  </si>
  <si>
    <t>YJ12-012</t>
  </si>
  <si>
    <t>이정선</t>
    <phoneticPr fontId="2" type="noConversion"/>
  </si>
  <si>
    <t>YJ13-003</t>
  </si>
  <si>
    <t>박청국</t>
    <phoneticPr fontId="2" type="noConversion"/>
  </si>
  <si>
    <t>YJ09-001</t>
  </si>
  <si>
    <t>김평순</t>
    <phoneticPr fontId="2" type="noConversion"/>
  </si>
  <si>
    <t>영진상사 5월분 급여지급명세서</t>
    <phoneticPr fontId="2" type="noConversion"/>
  </si>
  <si>
    <t>체험일</t>
    <phoneticPr fontId="2" type="noConversion"/>
  </si>
  <si>
    <t>장소</t>
    <phoneticPr fontId="2" type="noConversion"/>
  </si>
  <si>
    <t>체험코드</t>
    <phoneticPr fontId="2" type="noConversion"/>
  </si>
  <si>
    <t>학년/반</t>
    <phoneticPr fontId="2" type="noConversion"/>
  </si>
  <si>
    <t>인솔자</t>
    <phoneticPr fontId="2" type="noConversion"/>
  </si>
  <si>
    <t>학생수</t>
    <phoneticPr fontId="2" type="noConversion"/>
  </si>
  <si>
    <t>서울직업체험학교</t>
    <phoneticPr fontId="2" type="noConversion"/>
  </si>
  <si>
    <t>PTP-49</t>
    <phoneticPr fontId="2" type="noConversion"/>
  </si>
  <si>
    <t>2학년1반</t>
    <phoneticPr fontId="2" type="noConversion"/>
  </si>
  <si>
    <t>조근우</t>
    <phoneticPr fontId="2" type="noConversion"/>
  </si>
  <si>
    <t>강화도우주센터</t>
    <phoneticPr fontId="2" type="noConversion"/>
  </si>
  <si>
    <t>KUY-81</t>
    <phoneticPr fontId="2" type="noConversion"/>
  </si>
  <si>
    <t>2학년2반</t>
  </si>
  <si>
    <t>윤석신</t>
    <phoneticPr fontId="2" type="noConversion"/>
  </si>
  <si>
    <t>영주자연체험장</t>
    <phoneticPr fontId="2" type="noConversion"/>
  </si>
  <si>
    <t>SRT-37</t>
    <phoneticPr fontId="2" type="noConversion"/>
  </si>
  <si>
    <t>2학년3반</t>
  </si>
  <si>
    <t>한서희</t>
    <phoneticPr fontId="2" type="noConversion"/>
  </si>
  <si>
    <t>인천원숭이학교</t>
    <phoneticPr fontId="2" type="noConversion"/>
  </si>
  <si>
    <t>POM-11</t>
    <phoneticPr fontId="2" type="noConversion"/>
  </si>
  <si>
    <t>2학년4반</t>
  </si>
  <si>
    <t>강신혜</t>
    <phoneticPr fontId="2" type="noConversion"/>
  </si>
  <si>
    <t>이천도자기학교</t>
    <phoneticPr fontId="2" type="noConversion"/>
  </si>
  <si>
    <t>KAC-59</t>
    <phoneticPr fontId="2" type="noConversion"/>
  </si>
  <si>
    <t>2학년5반</t>
  </si>
  <si>
    <t>박지훈</t>
    <phoneticPr fontId="2" type="noConversion"/>
  </si>
  <si>
    <t>속초바다체험장</t>
    <phoneticPr fontId="2" type="noConversion"/>
  </si>
  <si>
    <t>SBN-46</t>
    <phoneticPr fontId="2" type="noConversion"/>
  </si>
  <si>
    <t>2학년6반</t>
  </si>
  <si>
    <t>김진숙</t>
    <phoneticPr fontId="2" type="noConversion"/>
  </si>
  <si>
    <t>대관령양떼목장</t>
    <phoneticPr fontId="2" type="noConversion"/>
  </si>
  <si>
    <t>PAE-34</t>
    <phoneticPr fontId="2" type="noConversion"/>
  </si>
  <si>
    <t>1학년1반</t>
    <phoneticPr fontId="2" type="noConversion"/>
  </si>
  <si>
    <t>유희진</t>
    <phoneticPr fontId="2" type="noConversion"/>
  </si>
  <si>
    <t>임실치즈체험장</t>
    <phoneticPr fontId="2" type="noConversion"/>
  </si>
  <si>
    <t>SGV-50</t>
    <phoneticPr fontId="2" type="noConversion"/>
  </si>
  <si>
    <t>1학년2반</t>
  </si>
  <si>
    <t>이승재</t>
    <phoneticPr fontId="2" type="noConversion"/>
  </si>
  <si>
    <t>단양역사체험학교</t>
    <phoneticPr fontId="2" type="noConversion"/>
  </si>
  <si>
    <t>KMH-76</t>
    <phoneticPr fontId="2" type="noConversion"/>
  </si>
  <si>
    <t>1학년3반</t>
  </si>
  <si>
    <t>황정진</t>
    <phoneticPr fontId="2" type="noConversion"/>
  </si>
  <si>
    <t>충주곤충체험장</t>
    <phoneticPr fontId="2" type="noConversion"/>
  </si>
  <si>
    <t>KET-64</t>
    <phoneticPr fontId="2" type="noConversion"/>
  </si>
  <si>
    <t>1학년4반</t>
  </si>
  <si>
    <t>김보영</t>
    <phoneticPr fontId="2" type="noConversion"/>
  </si>
  <si>
    <t>원주산악체험장</t>
    <phoneticPr fontId="2" type="noConversion"/>
  </si>
  <si>
    <t>PIS-92</t>
    <phoneticPr fontId="2" type="noConversion"/>
  </si>
  <si>
    <t>1학년5반</t>
  </si>
  <si>
    <t>김완철</t>
    <phoneticPr fontId="2" type="noConversion"/>
  </si>
  <si>
    <t>상공초 체험 일정</t>
    <phoneticPr fontId="2" type="noConversion"/>
  </si>
  <si>
    <t>아기상어</t>
    <phoneticPr fontId="2" type="noConversion"/>
  </si>
  <si>
    <t>더하기</t>
    <phoneticPr fontId="2" type="noConversion"/>
  </si>
  <si>
    <t>빼기</t>
    <phoneticPr fontId="2" type="noConversion"/>
  </si>
  <si>
    <t>곱하기</t>
    <phoneticPr fontId="2" type="noConversion"/>
  </si>
  <si>
    <t>나누기</t>
    <phoneticPr fontId="2" type="noConversion"/>
  </si>
  <si>
    <t>연결하기</t>
    <phoneticPr fontId="2" type="noConversion"/>
  </si>
  <si>
    <t>&gt;</t>
    <phoneticPr fontId="2" type="noConversion"/>
  </si>
  <si>
    <t>&gt;=</t>
    <phoneticPr fontId="2" type="noConversion"/>
  </si>
  <si>
    <t>초과</t>
    <phoneticPr fontId="2" type="noConversion"/>
  </si>
  <si>
    <t>이상</t>
    <phoneticPr fontId="2" type="noConversion"/>
  </si>
  <si>
    <t>이하</t>
    <phoneticPr fontId="2" type="noConversion"/>
  </si>
  <si>
    <t>&lt;=</t>
    <phoneticPr fontId="2" type="noConversion"/>
  </si>
  <si>
    <t>미만</t>
    <phoneticPr fontId="2" type="noConversion"/>
  </si>
  <si>
    <t>&lt;</t>
    <phoneticPr fontId="2" type="noConversion"/>
  </si>
  <si>
    <t>=</t>
    <phoneticPr fontId="2" type="noConversion"/>
  </si>
  <si>
    <t>같다</t>
    <phoneticPr fontId="2" type="noConversion"/>
  </si>
  <si>
    <t>다르다</t>
    <phoneticPr fontId="2" type="noConversion"/>
  </si>
  <si>
    <t>&lt;&gt;</t>
    <phoneticPr fontId="2" type="noConversion"/>
  </si>
  <si>
    <t>2. 비교연산자 :     참조 : 숫자   결과 :TRUE, FALSE</t>
    <phoneticPr fontId="2" type="noConversion"/>
  </si>
  <si>
    <t>1. 산술연산자  : 참조 - 숫자,  결과 - 숫자</t>
    <phoneticPr fontId="2" type="noConversion"/>
  </si>
  <si>
    <t>3. 논리함수  : 참조 - TRUE, FALSE    결과 : TRUE, FALSE</t>
    <phoneticPr fontId="2" type="noConversion"/>
  </si>
  <si>
    <t>or</t>
    <phoneticPr fontId="2" type="noConversion"/>
  </si>
  <si>
    <t>AND:모든 인수TRUE-TRUE</t>
    <phoneticPr fontId="2" type="noConversion"/>
  </si>
  <si>
    <t>or: 1개의 인수라도 TRUE - TRUE</t>
    <phoneticPr fontId="2" type="noConversion"/>
  </si>
  <si>
    <t>not: 반대</t>
    <phoneticPr fontId="2" type="noConversion"/>
  </si>
  <si>
    <t>xor: 두 인수가 다르면 TRUE</t>
    <phoneticPr fontId="2" type="noConversion"/>
  </si>
  <si>
    <t>나이</t>
    <phoneticPr fontId="2" type="noConversion"/>
  </si>
  <si>
    <t>옷</t>
    <phoneticPr fontId="2" type="noConversion"/>
  </si>
  <si>
    <t>회색</t>
    <phoneticPr fontId="2" type="noConversion"/>
  </si>
  <si>
    <t>나이검사</t>
    <phoneticPr fontId="2" type="noConversion"/>
  </si>
  <si>
    <t>옷검사</t>
    <phoneticPr fontId="2" type="noConversion"/>
  </si>
  <si>
    <t>and</t>
    <phoneticPr fontId="2" type="noConversion"/>
  </si>
  <si>
    <t>and2</t>
    <phoneticPr fontId="2" type="noConversion"/>
  </si>
  <si>
    <t>or2</t>
    <phoneticPr fontId="2" type="noConversion"/>
  </si>
  <si>
    <t>합격,불합격</t>
    <phoneticPr fontId="2" type="noConversion"/>
  </si>
  <si>
    <t>분기</t>
    <phoneticPr fontId="2" type="noConversion"/>
  </si>
  <si>
    <t>우수,양호,정상,미흡</t>
    <phoneticPr fontId="2" type="noConversion"/>
  </si>
  <si>
    <t xml:space="preserve">   80     60   40</t>
    <phoneticPr fontId="2" type="noConversion"/>
  </si>
  <si>
    <t>IF(논리, 참일때값, 거짓일때값) - 단일 분기</t>
    <phoneticPr fontId="2" type="noConversion"/>
  </si>
  <si>
    <t>IFS(조건1,값1, 조건2,값2,...) - 다중 분기</t>
    <phoneticPr fontId="2" type="noConversion"/>
  </si>
  <si>
    <t>인사부-산,  영업부-바다, 부부-안방, 두부 - 콩밭</t>
    <phoneticPr fontId="2" type="noConversion"/>
  </si>
  <si>
    <t>부부</t>
    <phoneticPr fontId="2" type="noConversion"/>
  </si>
  <si>
    <t>switch(값, 경우1,결과1, 경우2,결과2, 경우3,결과3...) - 다중분기</t>
    <phoneticPr fontId="2" type="noConversion"/>
  </si>
  <si>
    <t>에러발생</t>
    <phoneticPr fontId="2" type="noConversion"/>
  </si>
  <si>
    <t>IFERROR : 수식 오류 발생시 대체 값으로 치환</t>
    <phoneticPr fontId="2" type="noConversion"/>
  </si>
  <si>
    <t>=5+3</t>
    <phoneticPr fontId="2" type="noConversion"/>
  </si>
  <si>
    <t>=6/abc</t>
    <phoneticPr fontId="2" type="noConversion"/>
  </si>
  <si>
    <t>=IFERROR(5+3,"에러발생")</t>
    <phoneticPr fontId="2" type="noConversion"/>
  </si>
  <si>
    <t>=IFERROR(6/abc,"에러발생")</t>
    <phoneticPr fontId="2" type="noConversion"/>
  </si>
  <si>
    <t xml:space="preserve"> 정상</t>
    <phoneticPr fontId="2" type="noConversion"/>
  </si>
  <si>
    <t>에러가 발생되어 대치값으로 치환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</si>
  <si>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</si>
  <si>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</si>
  <si>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</si>
  <si>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총점</t>
    <phoneticPr fontId="2" type="noConversion"/>
  </si>
  <si>
    <t>평균</t>
    <phoneticPr fontId="2" type="noConversion"/>
  </si>
  <si>
    <t>등급</t>
    <phoneticPr fontId="2" type="noConversion"/>
  </si>
  <si>
    <t>평균 : 90 이상 수, 80 이상 우, 70 이상 미, 60 이상 양, 0 이상 가</t>
    <phoneticPr fontId="2" type="noConversion"/>
  </si>
  <si>
    <t>=B53+B54+B55</t>
    <phoneticPr fontId="2" type="noConversion"/>
  </si>
  <si>
    <t>=B57/3</t>
    <phoneticPr fontId="2" type="noConversion"/>
  </si>
  <si>
    <t>=IFS(B58&gt;=90,"수",B58&gt;=80,"우",B58&gt;=70,"미",B58&gt;=60,"양",B58&gt;=0,"가")</t>
    <phoneticPr fontId="2" type="noConversion"/>
  </si>
  <si>
    <t>MBC 아카데미 서면점</t>
    <phoneticPr fontId="2" type="noConversion"/>
  </si>
  <si>
    <t>LEFT(원본문자열,글자수) - 왼쪽에서 글자수 만큼 추출</t>
    <phoneticPr fontId="2" type="noConversion"/>
  </si>
  <si>
    <t>RIGHT(원본문자열,글자수) - 오른쪽에서 글자수 만큼 추출</t>
    <phoneticPr fontId="2" type="noConversion"/>
  </si>
  <si>
    <t>MID(원본문자열,시작위치,글자수) - 왼쪽에서 시작위치에서부터 글자수 만큼 추출</t>
    <phoneticPr fontId="2" type="noConversion"/>
  </si>
  <si>
    <t>=MID(B2,3,5)</t>
    <phoneticPr fontId="2" type="noConversion"/>
  </si>
  <si>
    <t>=RIGHT(B2,6)</t>
    <phoneticPr fontId="2" type="noConversion"/>
  </si>
  <si>
    <t>=LEFT(B2,6)</t>
    <phoneticPr fontId="2" type="noConversion"/>
  </si>
  <si>
    <t>참조방식</t>
    <phoneticPr fontId="2" type="noConversion"/>
  </si>
  <si>
    <t>원빈 대리</t>
    <phoneticPr fontId="2" type="noConversion"/>
  </si>
  <si>
    <t>김우빈 과장</t>
    <phoneticPr fontId="2" type="noConversion"/>
  </si>
  <si>
    <t>현빈 사원</t>
    <phoneticPr fontId="2" type="noConversion"/>
  </si>
  <si>
    <t>젤리빈 사원</t>
    <phoneticPr fontId="2" type="noConversion"/>
  </si>
  <si>
    <t>커피빈 부장</t>
    <phoneticPr fontId="2" type="noConversion"/>
  </si>
  <si>
    <t>장희빈 대리</t>
    <phoneticPr fontId="2" type="noConversion"/>
  </si>
  <si>
    <t>텅빈 과장</t>
    <phoneticPr fontId="2" type="noConversion"/>
  </si>
  <si>
    <t>터빈 사원</t>
    <phoneticPr fontId="2" type="noConversion"/>
  </si>
  <si>
    <t>상대참조</t>
    <phoneticPr fontId="2" type="noConversion"/>
  </si>
  <si>
    <t>상대참조 - 포인터핸들을 이용한 채우기에서 참조되는 주소도 같이 변경</t>
    <phoneticPr fontId="2" type="noConversion"/>
  </si>
  <si>
    <t>절대참조</t>
    <phoneticPr fontId="2" type="noConversion"/>
  </si>
  <si>
    <t xml:space="preserve">절대참조 - 채우기로 셀의 수식을 복사하여도 참조주소가 변경되지 않음
</t>
    <phoneticPr fontId="2" type="noConversion"/>
  </si>
  <si>
    <t>- F4 키를 이용하여 참조주소에 $ 표시</t>
  </si>
  <si>
    <t>혼합참조</t>
    <phoneticPr fontId="2" type="noConversion"/>
  </si>
  <si>
    <t>혼합참조 - 상대참조와 절대참조를 혼합하여 사용 , 열과 행의 참조방식이 다를 경우</t>
    <phoneticPr fontId="2" type="noConversion"/>
  </si>
  <si>
    <t>B$32</t>
  </si>
  <si>
    <t>B18</t>
  </si>
  <si>
    <t>$B$18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</si>
</sst>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2">
    <cellStyle name="쉼표 [0]" xfId="1" builtinId="6"/>
    <cellStyle name="표준" xfId="0" builtinId="0"/>
  </cellStyles>
  <dxfs count="5">
    <dxf>
      <font>
        <color rgb="FFFF0000"/>
      </font>
    </dxf>
    <dxf>
      <font>
        <color rgb="FF0070C0"/>
      </font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C7CE-88DE-402C-8734-CCC7223C65B3}">
  <dimension ref="A2:I60"/>
  <sheetViews>
    <sheetView topLeftCell="A53" zoomScale="160" zoomScaleNormal="160" workbookViewId="0">
      <selection activeCell="C60" sqref="C60"/>
    </sheetView>
  </sheetViews>
  <sheetFormatPr defaultRowHeight="16.5" x14ac:dyDescent="0.3"/>
  <cols>
    <col min="1" max="1" width="18.5" bestFit="1" customWidth="1"/>
    <col min="2" max="2" width="27.25" customWidth="1"/>
    <col min="3" max="3" width="13.75" customWidth="1"/>
    <col min="5" max="5" width="12.75" bestFit="1" customWidth="1"/>
  </cols>
  <sheetData>
    <row r="2" spans="2:7" x14ac:dyDescent="0.3">
      <c r="B2">
        <f>5+3</f>
        <v>8</v>
      </c>
    </row>
    <row r="3" spans="2:7" x14ac:dyDescent="0.3">
      <c r="B3">
        <v>5</v>
      </c>
      <c r="C3" t="s">
        <v>114</v>
      </c>
      <c r="D3" t="e">
        <f>B3+C3</f>
        <v>#VALUE!</v>
      </c>
    </row>
    <row r="4" spans="2:7" x14ac:dyDescent="0.3">
      <c r="B4" t="s">
        <v>133</v>
      </c>
    </row>
    <row r="5" spans="2:7" x14ac:dyDescent="0.3">
      <c r="B5">
        <v>15</v>
      </c>
      <c r="D5">
        <v>7</v>
      </c>
    </row>
    <row r="6" spans="2:7" x14ac:dyDescent="0.3">
      <c r="B6" t="s">
        <v>115</v>
      </c>
      <c r="C6" t="s">
        <v>116</v>
      </c>
      <c r="D6" t="s">
        <v>117</v>
      </c>
      <c r="E6" t="s">
        <v>118</v>
      </c>
      <c r="F6" t="s">
        <v>119</v>
      </c>
    </row>
    <row r="7" spans="2:7" x14ac:dyDescent="0.3">
      <c r="B7">
        <f>B5+D5</f>
        <v>22</v>
      </c>
      <c r="C7">
        <f>B5-D5</f>
        <v>8</v>
      </c>
      <c r="D7">
        <f>B5*D5</f>
        <v>105</v>
      </c>
      <c r="E7">
        <f>B5/D5</f>
        <v>2.1428571428571428</v>
      </c>
      <c r="F7" t="str">
        <f>B5&amp;D5</f>
        <v>157</v>
      </c>
    </row>
    <row r="9" spans="2:7" x14ac:dyDescent="0.3">
      <c r="B9" t="s">
        <v>132</v>
      </c>
    </row>
    <row r="10" spans="2:7" x14ac:dyDescent="0.3">
      <c r="B10">
        <v>23</v>
      </c>
      <c r="D10">
        <v>20</v>
      </c>
    </row>
    <row r="11" spans="2:7" x14ac:dyDescent="0.3">
      <c r="B11" t="s">
        <v>122</v>
      </c>
      <c r="C11" t="s">
        <v>123</v>
      </c>
      <c r="D11" t="s">
        <v>124</v>
      </c>
      <c r="E11" t="s">
        <v>126</v>
      </c>
      <c r="F11" t="s">
        <v>129</v>
      </c>
      <c r="G11" t="s">
        <v>130</v>
      </c>
    </row>
    <row r="12" spans="2:7" x14ac:dyDescent="0.3">
      <c r="B12" s="7" t="s">
        <v>120</v>
      </c>
      <c r="C12" s="7" t="s">
        <v>121</v>
      </c>
      <c r="D12" s="7" t="s">
        <v>125</v>
      </c>
      <c r="E12" s="7" t="s">
        <v>127</v>
      </c>
      <c r="F12" s="7" t="s">
        <v>128</v>
      </c>
      <c r="G12" s="7" t="s">
        <v>131</v>
      </c>
    </row>
    <row r="13" spans="2:7" x14ac:dyDescent="0.3">
      <c r="B13" t="b">
        <f>B10&gt;D10</f>
        <v>1</v>
      </c>
      <c r="C13" t="b">
        <f>B10&gt;=D10</f>
        <v>1</v>
      </c>
      <c r="D13" t="b">
        <f>B10&lt;=D10</f>
        <v>0</v>
      </c>
      <c r="E13" t="b">
        <f>B10&lt;D10</f>
        <v>0</v>
      </c>
      <c r="F13" t="b">
        <f>B10=D10</f>
        <v>0</v>
      </c>
      <c r="G13" t="b">
        <f>B10&lt;&gt;D10</f>
        <v>1</v>
      </c>
    </row>
    <row r="15" spans="2:7" x14ac:dyDescent="0.3">
      <c r="B15" t="s">
        <v>134</v>
      </c>
    </row>
    <row r="16" spans="2:7" x14ac:dyDescent="0.3">
      <c r="B16" t="b">
        <v>1</v>
      </c>
      <c r="D16" t="b">
        <v>1</v>
      </c>
    </row>
    <row r="18" spans="1:9" x14ac:dyDescent="0.3">
      <c r="B18" t="s">
        <v>136</v>
      </c>
      <c r="D18" t="s">
        <v>137</v>
      </c>
      <c r="G18" t="s">
        <v>138</v>
      </c>
      <c r="I18" t="s">
        <v>139</v>
      </c>
    </row>
    <row r="19" spans="1:9" x14ac:dyDescent="0.3">
      <c r="B19" t="b">
        <f>AND(B16,D16)</f>
        <v>1</v>
      </c>
      <c r="D19" t="b">
        <f>OR(B16,D16)</f>
        <v>1</v>
      </c>
      <c r="G19" t="b">
        <f>NOT(B16)</f>
        <v>0</v>
      </c>
      <c r="I19" t="b">
        <f>_xlfn.XOR(B16,D16)</f>
        <v>0</v>
      </c>
    </row>
    <row r="21" spans="1:9" x14ac:dyDescent="0.3">
      <c r="B21" t="s">
        <v>140</v>
      </c>
      <c r="C21">
        <v>52</v>
      </c>
    </row>
    <row r="22" spans="1:9" x14ac:dyDescent="0.3">
      <c r="B22" t="s">
        <v>141</v>
      </c>
      <c r="C22" t="s">
        <v>142</v>
      </c>
    </row>
    <row r="24" spans="1:9" x14ac:dyDescent="0.3">
      <c r="B24" t="s">
        <v>143</v>
      </c>
      <c r="C24" t="b">
        <f>C21&lt;=30</f>
        <v>0</v>
      </c>
    </row>
    <row r="25" spans="1:9" x14ac:dyDescent="0.3">
      <c r="B25" t="s">
        <v>144</v>
      </c>
      <c r="C25" t="b">
        <f>C22="빨강"</f>
        <v>0</v>
      </c>
    </row>
    <row r="27" spans="1:9" x14ac:dyDescent="0.3">
      <c r="B27" t="s">
        <v>145</v>
      </c>
      <c r="C27" t="b">
        <f>AND(C24,C25)</f>
        <v>0</v>
      </c>
      <c r="E27" t="s">
        <v>146</v>
      </c>
      <c r="F27" t="b">
        <f>AND(C21&lt;=30, C22="빨강")</f>
        <v>0</v>
      </c>
    </row>
    <row r="28" spans="1:9" x14ac:dyDescent="0.3">
      <c r="B28" t="s">
        <v>135</v>
      </c>
      <c r="C28" t="b">
        <f>OR(C24,C25)</f>
        <v>0</v>
      </c>
      <c r="E28" t="s">
        <v>147</v>
      </c>
      <c r="F28" t="b">
        <f>OR(C21&lt;=30, C22="빨강")</f>
        <v>0</v>
      </c>
    </row>
    <row r="30" spans="1:9" x14ac:dyDescent="0.3">
      <c r="B30" t="s">
        <v>152</v>
      </c>
    </row>
    <row r="31" spans="1:9" x14ac:dyDescent="0.3">
      <c r="B31" t="str">
        <f>IF(TRUE,"참이지롱","거짓부렁")</f>
        <v>참이지롱</v>
      </c>
    </row>
    <row r="32" spans="1:9" x14ac:dyDescent="0.3">
      <c r="A32" t="s">
        <v>149</v>
      </c>
      <c r="B32">
        <v>31</v>
      </c>
    </row>
    <row r="33" spans="1:4" x14ac:dyDescent="0.3">
      <c r="A33" t="s">
        <v>148</v>
      </c>
      <c r="B33" t="str">
        <f>IF(B32&gt;=80,"합격","불합격")</f>
        <v>불합격</v>
      </c>
    </row>
    <row r="34" spans="1:4" x14ac:dyDescent="0.3">
      <c r="A34" t="s">
        <v>150</v>
      </c>
      <c r="B34" t="str">
        <f>IF(B32&gt;=80,"우수",IF(B32&gt;=60,"양호",IF(B32&gt;=40,"정상","미흡")))</f>
        <v>미흡</v>
      </c>
    </row>
    <row r="35" spans="1:4" x14ac:dyDescent="0.3">
      <c r="A35" t="s">
        <v>151</v>
      </c>
    </row>
    <row r="37" spans="1:4" x14ac:dyDescent="0.3">
      <c r="B37" t="s">
        <v>153</v>
      </c>
    </row>
    <row r="38" spans="1:4" x14ac:dyDescent="0.3">
      <c r="B38" t="str" cm="1">
        <f t="array" ref="B38">_xlfn.IFS(B32&gt;=80,"우수2",B32&gt;=60,"양호2",B32&gt;=40,"정상2",B32&gt;=0,"미흡2")</f>
        <v>미흡2</v>
      </c>
    </row>
    <row r="40" spans="1:4" x14ac:dyDescent="0.3">
      <c r="B40" t="s">
        <v>155</v>
      </c>
      <c r="D40" t="s">
        <v>154</v>
      </c>
    </row>
    <row r="41" spans="1:4" x14ac:dyDescent="0.3">
      <c r="B41" t="str" cm="1">
        <f t="array" ref="B41">_xlfn.IFS(B40="인사부","산",B40="영업부","바다",B40="부부","안방",B40="두부","콩밭")</f>
        <v>안방</v>
      </c>
    </row>
    <row r="43" spans="1:4" x14ac:dyDescent="0.3">
      <c r="B43" t="s">
        <v>156</v>
      </c>
    </row>
    <row r="44" spans="1:4" x14ac:dyDescent="0.3">
      <c r="B44" t="str" cm="1">
        <f t="array" ref="B44">_xlfn.SWITCH(B40,"인사부","산","영업부","바다","부부","안방","두부","콩밭")</f>
        <v>안방</v>
      </c>
    </row>
    <row r="46" spans="1:4" x14ac:dyDescent="0.3">
      <c r="B46" s="7" t="s">
        <v>159</v>
      </c>
      <c r="C46">
        <f>5+3</f>
        <v>8</v>
      </c>
    </row>
    <row r="47" spans="1:4" x14ac:dyDescent="0.3">
      <c r="B47" s="7" t="s">
        <v>160</v>
      </c>
      <c r="C47" t="e" cm="1">
        <f t="array" ref="C47">6/abc</f>
        <v>#NAME?</v>
      </c>
      <c r="D47" t="s">
        <v>157</v>
      </c>
    </row>
    <row r="49" spans="1:4" x14ac:dyDescent="0.3">
      <c r="B49" t="s">
        <v>158</v>
      </c>
    </row>
    <row r="50" spans="1:4" x14ac:dyDescent="0.3">
      <c r="B50" s="7" t="s">
        <v>161</v>
      </c>
      <c r="C50">
        <f>IFERROR(5+3,"에러발생")</f>
        <v>8</v>
      </c>
      <c r="D50" t="s">
        <v>163</v>
      </c>
    </row>
    <row r="51" spans="1:4" x14ac:dyDescent="0.3">
      <c r="B51" s="7" t="s">
        <v>162</v>
      </c>
      <c r="C51" t="str" cm="1">
        <f t="array" ref="C51">IFERROR(6/abc,"에러발생")</f>
        <v>에러발생</v>
      </c>
      <c r="D51" t="s">
        <v>164</v>
      </c>
    </row>
    <row r="53" spans="1:4" x14ac:dyDescent="0.3">
      <c r="A53" t="s">
        <v>165</v>
      </c>
      <c r="B53">
        <v>54</v>
      </c>
    </row>
    <row r="54" spans="1:4" x14ac:dyDescent="0.3">
      <c r="A54" t="s">
        <v>166</v>
      </c>
      <c r="B54">
        <v>51</v>
      </c>
    </row>
    <row r="55" spans="1:4" x14ac:dyDescent="0.3">
      <c r="A55" t="s">
        <v>167</v>
      </c>
      <c r="B55">
        <v>31</v>
      </c>
    </row>
    <row r="57" spans="1:4" x14ac:dyDescent="0.3">
      <c r="A57" t="s">
        <v>168</v>
      </c>
      <c r="B57">
        <f>B53+B54+B55</f>
        <v>136</v>
      </c>
      <c r="C57" s="7" t="s">
        <v>172</v>
      </c>
    </row>
    <row r="58" spans="1:4" x14ac:dyDescent="0.3">
      <c r="A58" t="s">
        <v>169</v>
      </c>
      <c r="B58">
        <f>B57/3</f>
        <v>45.333333333333336</v>
      </c>
      <c r="C58" s="7" t="s">
        <v>173</v>
      </c>
    </row>
    <row r="59" spans="1:4" x14ac:dyDescent="0.3">
      <c r="A59" t="s">
        <v>170</v>
      </c>
      <c r="B59" t="str" cm="1">
        <f t="array" ref="B59">_xlfn.IFS(B58&gt;=90,"수",B58&gt;=80,"우",B58&gt;=70,"미",B58&gt;=60,"양",B58&gt;=0,"가")</f>
        <v>가</v>
      </c>
      <c r="C59" s="7" t="s">
        <v>174</v>
      </c>
    </row>
    <row r="60" spans="1:4" x14ac:dyDescent="0.3">
      <c r="A60" t="s">
        <v>171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72038-69DE-42AE-82C9-D6783778F4AC}">
  <dimension ref="B1:H32"/>
  <sheetViews>
    <sheetView topLeftCell="A18" zoomScale="190" zoomScaleNormal="190" workbookViewId="0">
      <selection activeCell="D17" sqref="D17"/>
    </sheetView>
  </sheetViews>
  <sheetFormatPr defaultRowHeight="16.5" x14ac:dyDescent="0.3"/>
  <cols>
    <col min="2" max="2" width="14.75" customWidth="1"/>
  </cols>
  <sheetData>
    <row r="1" spans="2:4" x14ac:dyDescent="0.3">
      <c r="B1" t="s">
        <v>175</v>
      </c>
    </row>
    <row r="3" spans="2:4" x14ac:dyDescent="0.3">
      <c r="B3" s="7" t="s">
        <v>181</v>
      </c>
    </row>
    <row r="4" spans="2:4" x14ac:dyDescent="0.3">
      <c r="B4" t="str">
        <f>LEFT(B1,6)</f>
        <v>MBC 아카</v>
      </c>
      <c r="C4" t="s">
        <v>176</v>
      </c>
    </row>
    <row r="5" spans="2:4" x14ac:dyDescent="0.3">
      <c r="B5" s="7" t="s">
        <v>180</v>
      </c>
    </row>
    <row r="6" spans="2:4" x14ac:dyDescent="0.3">
      <c r="B6" t="str">
        <f>RIGHT(B1,6)</f>
        <v>데미 서면점</v>
      </c>
      <c r="C6" t="s">
        <v>177</v>
      </c>
    </row>
    <row r="7" spans="2:4" x14ac:dyDescent="0.3">
      <c r="B7" s="7" t="s">
        <v>179</v>
      </c>
    </row>
    <row r="8" spans="2:4" x14ac:dyDescent="0.3">
      <c r="B8" t="str">
        <f>MID(B1,3,5)</f>
        <v>C 아카데</v>
      </c>
      <c r="C8" t="s">
        <v>178</v>
      </c>
    </row>
    <row r="9" spans="2:4" x14ac:dyDescent="0.3">
      <c r="B9" t="s">
        <v>182</v>
      </c>
    </row>
    <row r="10" spans="2:4" x14ac:dyDescent="0.3">
      <c r="B10" t="s">
        <v>192</v>
      </c>
    </row>
    <row r="11" spans="2:4" x14ac:dyDescent="0.3">
      <c r="B11" s="9" t="s">
        <v>194</v>
      </c>
    </row>
    <row r="12" spans="2:4" x14ac:dyDescent="0.3">
      <c r="B12" t="s">
        <v>195</v>
      </c>
    </row>
    <row r="13" spans="2:4" x14ac:dyDescent="0.3">
      <c r="B13" t="s">
        <v>197</v>
      </c>
    </row>
    <row r="16" spans="2:4" x14ac:dyDescent="0.3">
      <c r="C16" t="s">
        <v>199</v>
      </c>
      <c r="D16" t="s">
        <v>200</v>
      </c>
    </row>
    <row r="17" spans="2:8" x14ac:dyDescent="0.3">
      <c r="C17" t="s">
        <v>191</v>
      </c>
      <c r="D17" t="s">
        <v>193</v>
      </c>
    </row>
    <row r="18" spans="2:8" x14ac:dyDescent="0.3">
      <c r="B18" t="s">
        <v>183</v>
      </c>
      <c r="C18" t="str">
        <f>RIGHT(B18,2)</f>
        <v>대리</v>
      </c>
      <c r="D18" t="str">
        <f>RIGHT($B$18,2)</f>
        <v>대리</v>
      </c>
    </row>
    <row r="19" spans="2:8" x14ac:dyDescent="0.3">
      <c r="B19" t="s">
        <v>184</v>
      </c>
      <c r="C19" t="str">
        <f t="shared" ref="C19:C25" si="0">RIGHT(B19,2)</f>
        <v>과장</v>
      </c>
      <c r="D19" t="str">
        <f t="shared" ref="D19:D25" si="1">RIGHT($B$18,2)</f>
        <v>대리</v>
      </c>
    </row>
    <row r="20" spans="2:8" x14ac:dyDescent="0.3">
      <c r="B20" t="s">
        <v>185</v>
      </c>
      <c r="C20" t="str">
        <f t="shared" si="0"/>
        <v>사원</v>
      </c>
      <c r="D20" t="str">
        <f t="shared" si="1"/>
        <v>대리</v>
      </c>
    </row>
    <row r="21" spans="2:8" x14ac:dyDescent="0.3">
      <c r="B21" t="s">
        <v>186</v>
      </c>
      <c r="C21" t="str">
        <f t="shared" si="0"/>
        <v>사원</v>
      </c>
      <c r="D21" t="str">
        <f t="shared" si="1"/>
        <v>대리</v>
      </c>
    </row>
    <row r="22" spans="2:8" x14ac:dyDescent="0.3">
      <c r="B22" t="s">
        <v>187</v>
      </c>
      <c r="C22" t="str">
        <f t="shared" si="0"/>
        <v>부장</v>
      </c>
      <c r="D22" t="str">
        <f t="shared" si="1"/>
        <v>대리</v>
      </c>
    </row>
    <row r="23" spans="2:8" x14ac:dyDescent="0.3">
      <c r="B23" t="s">
        <v>188</v>
      </c>
      <c r="C23" t="str">
        <f t="shared" si="0"/>
        <v>대리</v>
      </c>
      <c r="D23" t="str">
        <f t="shared" si="1"/>
        <v>대리</v>
      </c>
    </row>
    <row r="24" spans="2:8" x14ac:dyDescent="0.3">
      <c r="B24" t="s">
        <v>189</v>
      </c>
      <c r="C24" t="str">
        <f t="shared" si="0"/>
        <v>과장</v>
      </c>
      <c r="D24" t="str">
        <f t="shared" si="1"/>
        <v>대리</v>
      </c>
    </row>
    <row r="25" spans="2:8" x14ac:dyDescent="0.3">
      <c r="B25" t="s">
        <v>190</v>
      </c>
      <c r="C25" t="str">
        <f t="shared" si="0"/>
        <v>사원</v>
      </c>
      <c r="D25" t="str">
        <f t="shared" si="1"/>
        <v>대리</v>
      </c>
    </row>
    <row r="26" spans="2:8" x14ac:dyDescent="0.3">
      <c r="F26" t="s">
        <v>196</v>
      </c>
      <c r="G26" t="s">
        <v>198</v>
      </c>
    </row>
    <row r="27" spans="2:8" x14ac:dyDescent="0.3">
      <c r="B27">
        <v>11</v>
      </c>
      <c r="C27">
        <v>123</v>
      </c>
      <c r="D27">
        <v>200</v>
      </c>
      <c r="F27">
        <f>B27*B$32</f>
        <v>22</v>
      </c>
      <c r="G27">
        <f t="shared" ref="G27:H30" si="2">C27*C$32</f>
        <v>369</v>
      </c>
      <c r="H27">
        <f t="shared" si="2"/>
        <v>800</v>
      </c>
    </row>
    <row r="28" spans="2:8" x14ac:dyDescent="0.3">
      <c r="B28">
        <v>33</v>
      </c>
      <c r="C28">
        <v>456</v>
      </c>
      <c r="D28">
        <v>400</v>
      </c>
      <c r="F28">
        <f t="shared" ref="F28:F30" si="3">B28*B$32</f>
        <v>66</v>
      </c>
      <c r="G28">
        <f t="shared" si="2"/>
        <v>1368</v>
      </c>
      <c r="H28">
        <f t="shared" si="2"/>
        <v>1600</v>
      </c>
    </row>
    <row r="29" spans="2:8" x14ac:dyDescent="0.3">
      <c r="B29">
        <v>55</v>
      </c>
      <c r="C29">
        <v>789</v>
      </c>
      <c r="D29">
        <v>600</v>
      </c>
      <c r="F29">
        <f t="shared" si="3"/>
        <v>110</v>
      </c>
      <c r="G29">
        <f t="shared" si="2"/>
        <v>2367</v>
      </c>
      <c r="H29">
        <f t="shared" si="2"/>
        <v>2400</v>
      </c>
    </row>
    <row r="30" spans="2:8" x14ac:dyDescent="0.3">
      <c r="B30">
        <v>77</v>
      </c>
      <c r="C30">
        <v>987</v>
      </c>
      <c r="D30">
        <v>800</v>
      </c>
      <c r="F30">
        <f t="shared" si="3"/>
        <v>154</v>
      </c>
      <c r="G30">
        <f t="shared" si="2"/>
        <v>2961</v>
      </c>
      <c r="H30">
        <f t="shared" si="2"/>
        <v>3200</v>
      </c>
    </row>
    <row r="32" spans="2:8" x14ac:dyDescent="0.3">
      <c r="B32">
        <v>2</v>
      </c>
      <c r="C32">
        <v>3</v>
      </c>
      <c r="D32">
        <v>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workbookViewId="0">
      <selection activeCell="M7" sqref="M7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B32" sqref="B32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4" priority="1">
      <formula>LEFT($A4,4)="2024"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tabSelected="1" workbookViewId="0">
      <selection activeCell="G4" sqref="G4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5"/>
  <sheetViews>
    <sheetView workbookViewId="0">
      <selection activeCell="F33" sqref="F33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3" priority="1">
      <formula>AND($C4="차장",$G4&lt;5000000)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8" t="s">
        <v>113</v>
      </c>
      <c r="B1" s="8"/>
      <c r="C1" s="8"/>
      <c r="D1" s="8"/>
      <c r="E1" s="8"/>
      <c r="F1" s="8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8" t="s">
        <v>113</v>
      </c>
      <c r="B1" s="8"/>
      <c r="C1" s="8"/>
      <c r="D1" s="8"/>
      <c r="E1" s="8"/>
      <c r="F1" s="8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2" priority="1">
      <formula>OR(LEFT($C4,1)="P",LEFT($C4,1)="S")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수식</vt:lpstr>
      <vt:lpstr>문자열</vt:lpstr>
      <vt:lpstr>조건부1</vt:lpstr>
      <vt:lpstr>조건부1(결과)</vt:lpstr>
      <vt:lpstr>조건부2</vt:lpstr>
      <vt:lpstr>조건부2(결과)</vt:lpstr>
      <vt:lpstr>조건부3</vt:lpstr>
      <vt:lpstr>조건부3(결과)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2020-04-05T04:14:40Z</dcterms:created>
  <dcterms:modified xsi:type="dcterms:W3CDTF">2026-07-08T12:54:01Z</dcterms:modified>
</cp:coreProperties>
</file>
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F76054FC-45A2-488D-B1A8-EB835042EC9D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수식" sheetId="7" r:id="rId1"/>
    <sheet name="조건부1" sheetId="4" r:id="rId2"/>
    <sheet name="조건부1(결과)" sheetId="1" r:id="rId3"/>
    <sheet name="조건부2" sheetId="5" r:id="rId4"/>
    <sheet name="조건부2(결과)" sheetId="2" r:id="rId5"/>
    <sheet name="조건부3" sheetId="6" r:id="rId6"/>
    <sheet name="조건부3(결과)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4" i="7" l="1" a="1"/>
  <c r="B44" i="7" s="1"/>
  <c r="B41" i="7" a="1"/>
  <c r="B41" i="7" s="1"/>
  <c r="B38" i="7" a="1"/>
  <c r="B38" i="7" s="1"/>
  <c r="B34" i="7"/>
  <c r="B33" i="7"/>
  <c r="B31" i="7"/>
  <c r="F28" i="7"/>
  <c r="F27" i="7"/>
  <c r="C25" i="7"/>
  <c r="C24" i="7"/>
  <c r="I19" i="7"/>
  <c r="G19" i="7"/>
  <c r="D19" i="7"/>
  <c r="B19" i="7"/>
  <c r="G13" i="7"/>
  <c r="F13" i="7"/>
  <c r="E13" i="7"/>
  <c r="D13" i="7"/>
  <c r="C13" i="7"/>
  <c r="B13" i="7"/>
  <c r="F7" i="7"/>
  <c r="E7" i="7"/>
  <c r="D7" i="7"/>
  <c r="C7" i="7"/>
  <c r="B7" i="7"/>
  <c r="D3" i="7"/>
  <c r="B2" i="7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G9" i="5"/>
  <c r="F9" i="5"/>
  <c r="F8" i="5"/>
  <c r="G8" i="5" s="1"/>
  <c r="F7" i="5"/>
  <c r="G7" i="5" s="1"/>
  <c r="F6" i="5"/>
  <c r="G6" i="5" s="1"/>
  <c r="F5" i="5"/>
  <c r="G5" i="5" s="1"/>
  <c r="F4" i="5"/>
  <c r="G4" i="5" s="1"/>
  <c r="F18" i="4"/>
  <c r="D18" i="4"/>
  <c r="H18" i="4" s="1"/>
  <c r="F17" i="4"/>
  <c r="D17" i="4"/>
  <c r="H17" i="4" s="1"/>
  <c r="F16" i="4"/>
  <c r="D16" i="4"/>
  <c r="F15" i="4"/>
  <c r="D15" i="4"/>
  <c r="H15" i="4" s="1"/>
  <c r="F14" i="4"/>
  <c r="H14" i="4" s="1"/>
  <c r="D14" i="4"/>
  <c r="H13" i="4"/>
  <c r="F13" i="4"/>
  <c r="D13" i="4"/>
  <c r="F12" i="4"/>
  <c r="D12" i="4"/>
  <c r="H12" i="4" s="1"/>
  <c r="F11" i="4"/>
  <c r="D11" i="4"/>
  <c r="H11" i="4" s="1"/>
  <c r="F10" i="4"/>
  <c r="D10" i="4"/>
  <c r="F9" i="4"/>
  <c r="D9" i="4"/>
  <c r="H9" i="4" s="1"/>
  <c r="F8" i="4"/>
  <c r="D8" i="4"/>
  <c r="F7" i="4"/>
  <c r="D7" i="4"/>
  <c r="H7" i="4" s="1"/>
  <c r="F6" i="4"/>
  <c r="D6" i="4"/>
  <c r="H5" i="4"/>
  <c r="F5" i="4"/>
  <c r="D5" i="4"/>
  <c r="F4" i="4"/>
  <c r="D4" i="4"/>
  <c r="H4" i="4" s="1"/>
  <c r="C28" i="7" l="1"/>
  <c r="C27" i="7"/>
  <c r="H6" i="4"/>
  <c r="H8" i="4"/>
  <c r="H16" i="4"/>
  <c r="H10" i="4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18" i="1"/>
  <c r="D18" i="1"/>
  <c r="H18" i="1" s="1"/>
  <c r="F17" i="1"/>
  <c r="D17" i="1"/>
  <c r="H17" i="1" s="1"/>
  <c r="F16" i="1"/>
  <c r="D16" i="1"/>
  <c r="H16" i="1" s="1"/>
  <c r="F15" i="1"/>
  <c r="D15" i="1"/>
  <c r="H15" i="1" s="1"/>
  <c r="F14" i="1"/>
  <c r="D14" i="1"/>
  <c r="F13" i="1"/>
  <c r="D13" i="1"/>
  <c r="H13" i="1" s="1"/>
  <c r="F12" i="1"/>
  <c r="D12" i="1"/>
  <c r="H12" i="1" s="1"/>
  <c r="F11" i="1"/>
  <c r="D11" i="1"/>
  <c r="F10" i="1"/>
  <c r="D10" i="1"/>
  <c r="H10" i="1" s="1"/>
  <c r="F9" i="1"/>
  <c r="D9" i="1"/>
  <c r="H9" i="1" s="1"/>
  <c r="F8" i="1"/>
  <c r="D8" i="1"/>
  <c r="H8" i="1" s="1"/>
  <c r="F7" i="1"/>
  <c r="D7" i="1"/>
  <c r="F6" i="1"/>
  <c r="D6" i="1"/>
  <c r="H6" i="1" s="1"/>
  <c r="F5" i="1"/>
  <c r="D5" i="1"/>
  <c r="H5" i="1" s="1"/>
  <c r="F4" i="1"/>
  <c r="D4" i="1"/>
  <c r="H4" i="1" s="1"/>
  <c r="H11" i="1" l="1"/>
  <c r="H14" i="1"/>
  <c r="H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<sst xmlns="http://schemas.openxmlformats.org/spreadsheetml/2006/main" count="281" uniqueCount="157">
  <si>
    <t>교양과목 성적</t>
    <phoneticPr fontId="2" type="noConversion"/>
  </si>
  <si>
    <t>학번</t>
    <phoneticPr fontId="2" type="noConversion"/>
  </si>
  <si>
    <t>이름</t>
    <phoneticPr fontId="2" type="noConversion"/>
  </si>
  <si>
    <t>중간</t>
    <phoneticPr fontId="2" type="noConversion"/>
  </si>
  <si>
    <t>중간(40)</t>
    <phoneticPr fontId="2" type="noConversion"/>
  </si>
  <si>
    <t>기말</t>
    <phoneticPr fontId="2" type="noConversion"/>
  </si>
  <si>
    <t>기말(40)</t>
    <phoneticPr fontId="2" type="noConversion"/>
  </si>
  <si>
    <t>출석(20)</t>
    <phoneticPr fontId="2" type="noConversion"/>
  </si>
  <si>
    <t>합계</t>
    <phoneticPr fontId="2" type="noConversion"/>
  </si>
  <si>
    <t>이대훈</t>
    <phoneticPr fontId="2" type="noConversion"/>
  </si>
  <si>
    <t>전세인</t>
  </si>
  <si>
    <t>이송희</t>
    <phoneticPr fontId="2" type="noConversion"/>
  </si>
  <si>
    <t>전은지</t>
  </si>
  <si>
    <t>이지수</t>
    <phoneticPr fontId="2" type="noConversion"/>
  </si>
  <si>
    <t>유병재</t>
  </si>
  <si>
    <t>유준희</t>
  </si>
  <si>
    <t>유하늘</t>
  </si>
  <si>
    <t>강경문</t>
    <phoneticPr fontId="2" type="noConversion"/>
  </si>
  <si>
    <t>김다정</t>
  </si>
  <si>
    <t>김종희</t>
  </si>
  <si>
    <t>고천규</t>
  </si>
  <si>
    <t>고태헌</t>
  </si>
  <si>
    <t>황서현</t>
  </si>
  <si>
    <t>박주희</t>
  </si>
  <si>
    <t>사번</t>
    <phoneticPr fontId="2" type="noConversion"/>
  </si>
  <si>
    <t>성명</t>
    <phoneticPr fontId="2" type="noConversion"/>
  </si>
  <si>
    <t>직위</t>
    <phoneticPr fontId="2" type="noConversion"/>
  </si>
  <si>
    <t>기본급</t>
    <phoneticPr fontId="2" type="noConversion"/>
  </si>
  <si>
    <t>제수당</t>
    <phoneticPr fontId="2" type="noConversion"/>
  </si>
  <si>
    <t>상여금</t>
    <phoneticPr fontId="2" type="noConversion"/>
  </si>
  <si>
    <t>총급여</t>
    <phoneticPr fontId="2" type="noConversion"/>
  </si>
  <si>
    <t>YJ01-023</t>
  </si>
  <si>
    <t>김윤필</t>
  </si>
  <si>
    <t>부장</t>
    <phoneticPr fontId="2" type="noConversion"/>
  </si>
  <si>
    <t>YJ04-012</t>
  </si>
  <si>
    <t>이일형</t>
  </si>
  <si>
    <t>과장</t>
    <phoneticPr fontId="2" type="noConversion"/>
  </si>
  <si>
    <t>YJ11-002</t>
  </si>
  <si>
    <t>윤선영</t>
  </si>
  <si>
    <t>차장</t>
  </si>
  <si>
    <t>YJ10-021</t>
  </si>
  <si>
    <t>박김준</t>
  </si>
  <si>
    <t>대리</t>
  </si>
  <si>
    <t>YJ09-015</t>
  </si>
  <si>
    <t>최세연</t>
    <phoneticPr fontId="2" type="noConversion"/>
  </si>
  <si>
    <t>차장</t>
    <phoneticPr fontId="2" type="noConversion"/>
  </si>
  <si>
    <t>YJ13-007</t>
  </si>
  <si>
    <t>장태현</t>
    <phoneticPr fontId="2" type="noConversion"/>
  </si>
  <si>
    <t>사원</t>
    <phoneticPr fontId="2" type="noConversion"/>
  </si>
  <si>
    <t>YJ06-019</t>
  </si>
  <si>
    <t>유양선</t>
  </si>
  <si>
    <t>YJ08-004</t>
  </si>
  <si>
    <t>강종현</t>
  </si>
  <si>
    <t>대리</t>
    <phoneticPr fontId="2" type="noConversion"/>
  </si>
  <si>
    <t>YJ12-031</t>
  </si>
  <si>
    <t>김이리</t>
  </si>
  <si>
    <t>YJ12-012</t>
  </si>
  <si>
    <t>이정선</t>
    <phoneticPr fontId="2" type="noConversion"/>
  </si>
  <si>
    <t>YJ13-003</t>
  </si>
  <si>
    <t>박청국</t>
    <phoneticPr fontId="2" type="noConversion"/>
  </si>
  <si>
    <t>YJ09-001</t>
  </si>
  <si>
    <t>김평순</t>
    <phoneticPr fontId="2" type="noConversion"/>
  </si>
  <si>
    <t>영진상사 5월분 급여지급명세서</t>
    <phoneticPr fontId="2" type="noConversion"/>
  </si>
  <si>
    <t>체험일</t>
    <phoneticPr fontId="2" type="noConversion"/>
  </si>
  <si>
    <t>장소</t>
    <phoneticPr fontId="2" type="noConversion"/>
  </si>
  <si>
    <t>체험코드</t>
    <phoneticPr fontId="2" type="noConversion"/>
  </si>
  <si>
    <t>학년/반</t>
    <phoneticPr fontId="2" type="noConversion"/>
  </si>
  <si>
    <t>인솔자</t>
    <phoneticPr fontId="2" type="noConversion"/>
  </si>
  <si>
    <t>학생수</t>
    <phoneticPr fontId="2" type="noConversion"/>
  </si>
  <si>
    <t>서울직업체험학교</t>
    <phoneticPr fontId="2" type="noConversion"/>
  </si>
  <si>
    <t>PTP-49</t>
    <phoneticPr fontId="2" type="noConversion"/>
  </si>
  <si>
    <t>2학년1반</t>
    <phoneticPr fontId="2" type="noConversion"/>
  </si>
  <si>
    <t>조근우</t>
    <phoneticPr fontId="2" type="noConversion"/>
  </si>
  <si>
    <t>강화도우주센터</t>
    <phoneticPr fontId="2" type="noConversion"/>
  </si>
  <si>
    <t>KUY-81</t>
    <phoneticPr fontId="2" type="noConversion"/>
  </si>
  <si>
    <t>2학년2반</t>
  </si>
  <si>
    <t>윤석신</t>
    <phoneticPr fontId="2" type="noConversion"/>
  </si>
  <si>
    <t>영주자연체험장</t>
    <phoneticPr fontId="2" type="noConversion"/>
  </si>
  <si>
    <t>SRT-37</t>
    <phoneticPr fontId="2" type="noConversion"/>
  </si>
  <si>
    <t>2학년3반</t>
  </si>
  <si>
    <t>한서희</t>
    <phoneticPr fontId="2" type="noConversion"/>
  </si>
  <si>
    <t>인천원숭이학교</t>
    <phoneticPr fontId="2" type="noConversion"/>
  </si>
  <si>
    <t>POM-11</t>
    <phoneticPr fontId="2" type="noConversion"/>
  </si>
  <si>
    <t>2학년4반</t>
  </si>
  <si>
    <t>강신혜</t>
    <phoneticPr fontId="2" type="noConversion"/>
  </si>
  <si>
    <t>이천도자기학교</t>
    <phoneticPr fontId="2" type="noConversion"/>
  </si>
  <si>
    <t>KAC-59</t>
    <phoneticPr fontId="2" type="noConversion"/>
  </si>
  <si>
    <t>2학년5반</t>
  </si>
  <si>
    <t>박지훈</t>
    <phoneticPr fontId="2" type="noConversion"/>
  </si>
  <si>
    <t>속초바다체험장</t>
    <phoneticPr fontId="2" type="noConversion"/>
  </si>
  <si>
    <t>SBN-46</t>
    <phoneticPr fontId="2" type="noConversion"/>
  </si>
  <si>
    <t>2학년6반</t>
  </si>
  <si>
    <t>김진숙</t>
    <phoneticPr fontId="2" type="noConversion"/>
  </si>
  <si>
    <t>대관령양떼목장</t>
    <phoneticPr fontId="2" type="noConversion"/>
  </si>
  <si>
    <t>PAE-34</t>
    <phoneticPr fontId="2" type="noConversion"/>
  </si>
  <si>
    <t>1학년1반</t>
    <phoneticPr fontId="2" type="noConversion"/>
  </si>
  <si>
    <t>유희진</t>
    <phoneticPr fontId="2" type="noConversion"/>
  </si>
  <si>
    <t>임실치즈체험장</t>
    <phoneticPr fontId="2" type="noConversion"/>
  </si>
  <si>
    <t>SGV-50</t>
    <phoneticPr fontId="2" type="noConversion"/>
  </si>
  <si>
    <t>1학년2반</t>
  </si>
  <si>
    <t>이승재</t>
    <phoneticPr fontId="2" type="noConversion"/>
  </si>
  <si>
    <t>단양역사체험학교</t>
    <phoneticPr fontId="2" type="noConversion"/>
  </si>
  <si>
    <t>KMH-76</t>
    <phoneticPr fontId="2" type="noConversion"/>
  </si>
  <si>
    <t>1학년3반</t>
  </si>
  <si>
    <t>황정진</t>
    <phoneticPr fontId="2" type="noConversion"/>
  </si>
  <si>
    <t>충주곤충체험장</t>
    <phoneticPr fontId="2" type="noConversion"/>
  </si>
  <si>
    <t>KET-64</t>
    <phoneticPr fontId="2" type="noConversion"/>
  </si>
  <si>
    <t>1학년4반</t>
  </si>
  <si>
    <t>김보영</t>
    <phoneticPr fontId="2" type="noConversion"/>
  </si>
  <si>
    <t>원주산악체험장</t>
    <phoneticPr fontId="2" type="noConversion"/>
  </si>
  <si>
    <t>PIS-92</t>
    <phoneticPr fontId="2" type="noConversion"/>
  </si>
  <si>
    <t>1학년5반</t>
  </si>
  <si>
    <t>김완철</t>
    <phoneticPr fontId="2" type="noConversion"/>
  </si>
  <si>
    <t>상공초 체험 일정</t>
    <phoneticPr fontId="2" type="noConversion"/>
  </si>
  <si>
    <t>아기상어</t>
    <phoneticPr fontId="2" type="noConversion"/>
  </si>
  <si>
    <t>더하기</t>
    <phoneticPr fontId="2" type="noConversion"/>
  </si>
  <si>
    <t>빼기</t>
    <phoneticPr fontId="2" type="noConversion"/>
  </si>
  <si>
    <t>곱하기</t>
    <phoneticPr fontId="2" type="noConversion"/>
  </si>
  <si>
    <t>나누기</t>
    <phoneticPr fontId="2" type="noConversion"/>
  </si>
  <si>
    <t>연결하기</t>
    <phoneticPr fontId="2" type="noConversion"/>
  </si>
  <si>
    <t>&gt;</t>
    <phoneticPr fontId="2" type="noConversion"/>
  </si>
  <si>
    <t>&gt;=</t>
    <phoneticPr fontId="2" type="noConversion"/>
  </si>
  <si>
    <t>초과</t>
    <phoneticPr fontId="2" type="noConversion"/>
  </si>
  <si>
    <t>이상</t>
    <phoneticPr fontId="2" type="noConversion"/>
  </si>
  <si>
    <t>이하</t>
    <phoneticPr fontId="2" type="noConversion"/>
  </si>
  <si>
    <t>&lt;=</t>
    <phoneticPr fontId="2" type="noConversion"/>
  </si>
  <si>
    <t>미만</t>
    <phoneticPr fontId="2" type="noConversion"/>
  </si>
  <si>
    <t>&lt;</t>
    <phoneticPr fontId="2" type="noConversion"/>
  </si>
  <si>
    <t>=</t>
    <phoneticPr fontId="2" type="noConversion"/>
  </si>
  <si>
    <t>같다</t>
    <phoneticPr fontId="2" type="noConversion"/>
  </si>
  <si>
    <t>다르다</t>
    <phoneticPr fontId="2" type="noConversion"/>
  </si>
  <si>
    <t>&lt;&gt;</t>
    <phoneticPr fontId="2" type="noConversion"/>
  </si>
  <si>
    <t>2. 비교연산자 :     참조 : 숫자   결과 :TRUE, FALSE</t>
    <phoneticPr fontId="2" type="noConversion"/>
  </si>
  <si>
    <t>1. 산술연산자  : 참조 - 숫자,  결과 - 숫자</t>
    <phoneticPr fontId="2" type="noConversion"/>
  </si>
  <si>
    <t>3. 논리함수  : 참조 - TRUE, FALSE    결과 : TRUE, FALSE</t>
    <phoneticPr fontId="2" type="noConversion"/>
  </si>
  <si>
    <t>or</t>
    <phoneticPr fontId="2" type="noConversion"/>
  </si>
  <si>
    <t>AND:모든 인수TRUE-TRUE</t>
    <phoneticPr fontId="2" type="noConversion"/>
  </si>
  <si>
    <t>or: 1개의 인수라도 TRUE - TRUE</t>
    <phoneticPr fontId="2" type="noConversion"/>
  </si>
  <si>
    <t>not: 반대</t>
    <phoneticPr fontId="2" type="noConversion"/>
  </si>
  <si>
    <t>xor: 두 인수가 다르면 TRUE</t>
    <phoneticPr fontId="2" type="noConversion"/>
  </si>
  <si>
    <t>나이</t>
    <phoneticPr fontId="2" type="noConversion"/>
  </si>
  <si>
    <t>옷</t>
    <phoneticPr fontId="2" type="noConversion"/>
  </si>
  <si>
    <t>회색</t>
    <phoneticPr fontId="2" type="noConversion"/>
  </si>
  <si>
    <t>나이검사</t>
    <phoneticPr fontId="2" type="noConversion"/>
  </si>
  <si>
    <t>옷검사</t>
    <phoneticPr fontId="2" type="noConversion"/>
  </si>
  <si>
    <t>and</t>
    <phoneticPr fontId="2" type="noConversion"/>
  </si>
  <si>
    <t>and2</t>
    <phoneticPr fontId="2" type="noConversion"/>
  </si>
  <si>
    <t>or2</t>
    <phoneticPr fontId="2" type="noConversion"/>
  </si>
  <si>
    <t>합격,불합격</t>
    <phoneticPr fontId="2" type="noConversion"/>
  </si>
  <si>
    <t>분기</t>
    <phoneticPr fontId="2" type="noConversion"/>
  </si>
  <si>
    <t>우수,양호,정상,미흡</t>
    <phoneticPr fontId="2" type="noConversion"/>
  </si>
  <si>
    <t xml:space="preserve">   80     60   40</t>
    <phoneticPr fontId="2" type="noConversion"/>
  </si>
  <si>
    <t>IF(논리, 참일때값, 거짓일때값) - 단일 분기</t>
    <phoneticPr fontId="2" type="noConversion"/>
  </si>
  <si>
    <t>IFS(조건1,값1, 조건2,값2,...) - 다중 분기</t>
    <phoneticPr fontId="2" type="noConversion"/>
  </si>
  <si>
    <t>인사부-산,  영업부-바다, 부부-안방, 두부 - 콩밭</t>
    <phoneticPr fontId="2" type="noConversion"/>
  </si>
  <si>
    <t>부부</t>
    <phoneticPr fontId="2" type="noConversion"/>
  </si>
  <si>
    <t>switch(값, 경우1,결과1, 경우2,결과2, 경우3,결과3...) - 다중분기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</si>
</sst>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;@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3">
    <dxf>
      <fill>
        <patternFill>
          <bgColor rgb="FF00B050"/>
        </patternFill>
      </fill>
    </dxf>
    <dxf>
      <font>
        <b/>
        <i val="0"/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C7CE-88DE-402C-8734-CCC7223C65B3}">
  <dimension ref="A2:I44"/>
  <sheetViews>
    <sheetView tabSelected="1" topLeftCell="A41" zoomScale="160" zoomScaleNormal="160" workbookViewId="0">
      <selection activeCell="B45" sqref="B45"/>
    </sheetView>
  </sheetViews>
  <sheetFormatPr defaultRowHeight="16.5" x14ac:dyDescent="0.3"/>
  <cols>
    <col min="1" max="1" width="18.5" bestFit="1" customWidth="1"/>
    <col min="3" max="3" width="13.75" customWidth="1"/>
    <col min="5" max="5" width="12.75" bestFit="1" customWidth="1"/>
  </cols>
  <sheetData>
    <row r="2" spans="2:7" x14ac:dyDescent="0.3">
      <c r="B2">
        <f>5+3</f>
        <v>8</v>
      </c>
    </row>
    <row r="3" spans="2:7" x14ac:dyDescent="0.3">
      <c r="B3">
        <v>5</v>
      </c>
      <c r="C3" t="s">
        <v>114</v>
      </c>
      <c r="D3" t="e">
        <f>B3+C3</f>
        <v>#VALUE!</v>
      </c>
    </row>
    <row r="4" spans="2:7" x14ac:dyDescent="0.3">
      <c r="B4" t="s">
        <v>133</v>
      </c>
    </row>
    <row r="5" spans="2:7" x14ac:dyDescent="0.3">
      <c r="B5">
        <v>15</v>
      </c>
      <c r="D5">
        <v>7</v>
      </c>
    </row>
    <row r="6" spans="2:7" x14ac:dyDescent="0.3">
      <c r="B6" t="s">
        <v>115</v>
      </c>
      <c r="C6" t="s">
        <v>116</v>
      </c>
      <c r="D6" t="s">
        <v>117</v>
      </c>
      <c r="E6" t="s">
        <v>118</v>
      </c>
      <c r="F6" t="s">
        <v>119</v>
      </c>
    </row>
    <row r="7" spans="2:7" x14ac:dyDescent="0.3">
      <c r="B7">
        <f>B5+D5</f>
        <v>22</v>
      </c>
      <c r="C7">
        <f>B5-D5</f>
        <v>8</v>
      </c>
      <c r="D7">
        <f>B5*D5</f>
        <v>105</v>
      </c>
      <c r="E7">
        <f>B5/D5</f>
        <v>2.1428571428571428</v>
      </c>
      <c r="F7" t="str">
        <f>B5&amp;D5</f>
        <v>157</v>
      </c>
    </row>
    <row r="9" spans="2:7" x14ac:dyDescent="0.3">
      <c r="B9" t="s">
        <v>132</v>
      </c>
    </row>
    <row r="10" spans="2:7" x14ac:dyDescent="0.3">
      <c r="B10">
        <v>23</v>
      </c>
      <c r="D10">
        <v>20</v>
      </c>
    </row>
    <row r="11" spans="2:7" x14ac:dyDescent="0.3">
      <c r="B11" t="s">
        <v>122</v>
      </c>
      <c r="C11" t="s">
        <v>123</v>
      </c>
      <c r="D11" t="s">
        <v>124</v>
      </c>
      <c r="E11" t="s">
        <v>126</v>
      </c>
      <c r="F11" t="s">
        <v>129</v>
      </c>
      <c r="G11" t="s">
        <v>130</v>
      </c>
    </row>
    <row r="12" spans="2:7" x14ac:dyDescent="0.3">
      <c r="B12" s="7" t="s">
        <v>120</v>
      </c>
      <c r="C12" s="7" t="s">
        <v>121</v>
      </c>
      <c r="D12" s="7" t="s">
        <v>125</v>
      </c>
      <c r="E12" s="7" t="s">
        <v>127</v>
      </c>
      <c r="F12" s="7" t="s">
        <v>128</v>
      </c>
      <c r="G12" s="7" t="s">
        <v>131</v>
      </c>
    </row>
    <row r="13" spans="2:7" x14ac:dyDescent="0.3">
      <c r="B13" t="b">
        <f>B10&gt;D10</f>
        <v>1</v>
      </c>
      <c r="C13" t="b">
        <f>B10&gt;=D10</f>
        <v>1</v>
      </c>
      <c r="D13" t="b">
        <f>B10&lt;=D10</f>
        <v>0</v>
      </c>
      <c r="E13" t="b">
        <f>B10&lt;D10</f>
        <v>0</v>
      </c>
      <c r="F13" t="b">
        <f>B10=D10</f>
        <v>0</v>
      </c>
      <c r="G13" t="b">
        <f>B10&lt;&gt;D10</f>
        <v>1</v>
      </c>
    </row>
    <row r="15" spans="2:7" x14ac:dyDescent="0.3">
      <c r="B15" t="s">
        <v>134</v>
      </c>
    </row>
    <row r="16" spans="2:7" x14ac:dyDescent="0.3">
      <c r="B16" t="b">
        <v>1</v>
      </c>
      <c r="D16" t="b">
        <v>1</v>
      </c>
    </row>
    <row r="18" spans="1:9" x14ac:dyDescent="0.3">
      <c r="B18" t="s">
        <v>136</v>
      </c>
      <c r="D18" t="s">
        <v>137</v>
      </c>
      <c r="G18" t="s">
        <v>138</v>
      </c>
      <c r="I18" t="s">
        <v>139</v>
      </c>
    </row>
    <row r="19" spans="1:9" x14ac:dyDescent="0.3">
      <c r="B19" t="b">
        <f>AND(B16,D16)</f>
        <v>1</v>
      </c>
      <c r="D19" t="b">
        <f>OR(B16,D16)</f>
        <v>1</v>
      </c>
      <c r="G19" t="b">
        <f>NOT(B16)</f>
        <v>0</v>
      </c>
      <c r="I19" t="b">
        <f>_xlfn.XOR(B16,D16)</f>
        <v>0</v>
      </c>
    </row>
    <row r="21" spans="1:9" x14ac:dyDescent="0.3">
      <c r="B21" t="s">
        <v>140</v>
      </c>
      <c r="C21">
        <v>52</v>
      </c>
    </row>
    <row r="22" spans="1:9" x14ac:dyDescent="0.3">
      <c r="B22" t="s">
        <v>141</v>
      </c>
      <c r="C22" t="s">
        <v>142</v>
      </c>
    </row>
    <row r="24" spans="1:9" x14ac:dyDescent="0.3">
      <c r="B24" t="s">
        <v>143</v>
      </c>
      <c r="C24" t="b">
        <f>C21&lt;=30</f>
        <v>0</v>
      </c>
    </row>
    <row r="25" spans="1:9" x14ac:dyDescent="0.3">
      <c r="B25" t="s">
        <v>144</v>
      </c>
      <c r="C25" t="b">
        <f>C22="빨강"</f>
        <v>0</v>
      </c>
    </row>
    <row r="27" spans="1:9" x14ac:dyDescent="0.3">
      <c r="B27" t="s">
        <v>145</v>
      </c>
      <c r="C27" t="b">
        <f>AND(C24,C25)</f>
        <v>0</v>
      </c>
      <c r="E27" t="s">
        <v>146</v>
      </c>
      <c r="F27" t="b">
        <f>AND(C21&lt;=30, C22="빨강")</f>
        <v>0</v>
      </c>
    </row>
    <row r="28" spans="1:9" x14ac:dyDescent="0.3">
      <c r="B28" t="s">
        <v>135</v>
      </c>
      <c r="C28" t="b">
        <f>OR(C24,C25)</f>
        <v>0</v>
      </c>
      <c r="E28" t="s">
        <v>147</v>
      </c>
      <c r="F28" t="b">
        <f>OR(C21&lt;=30, C22="빨강")</f>
        <v>0</v>
      </c>
    </row>
    <row r="30" spans="1:9" x14ac:dyDescent="0.3">
      <c r="B30" t="s">
        <v>152</v>
      </c>
    </row>
    <row r="31" spans="1:9" x14ac:dyDescent="0.3">
      <c r="B31" t="str">
        <f>IF(TRUE,"참이지롱","거짓부렁")</f>
        <v>참이지롱</v>
      </c>
    </row>
    <row r="32" spans="1:9" x14ac:dyDescent="0.3">
      <c r="A32" t="s">
        <v>149</v>
      </c>
      <c r="B32">
        <v>31</v>
      </c>
    </row>
    <row r="33" spans="1:4" x14ac:dyDescent="0.3">
      <c r="A33" t="s">
        <v>148</v>
      </c>
      <c r="B33" t="str">
        <f>IF(B32&gt;=80,"합격","불합격")</f>
        <v>불합격</v>
      </c>
    </row>
    <row r="34" spans="1:4" x14ac:dyDescent="0.3">
      <c r="A34" t="s">
        <v>150</v>
      </c>
      <c r="B34" t="str">
        <f>IF(B32&gt;=80,"우수",IF(B32&gt;=60,"양호",IF(B32&gt;=40,"정상","미흡")))</f>
        <v>미흡</v>
      </c>
    </row>
    <row r="35" spans="1:4" x14ac:dyDescent="0.3">
      <c r="A35" t="s">
        <v>151</v>
      </c>
    </row>
    <row r="37" spans="1:4" x14ac:dyDescent="0.3">
      <c r="B37" t="s">
        <v>153</v>
      </c>
    </row>
    <row r="38" spans="1:4" x14ac:dyDescent="0.3">
      <c r="B38" t="str" cm="1">
        <f t="array" ref="B38">_xlfn.IFS(B32&gt;=80,"우수2",B32&gt;=60,"양호2",B32&gt;=40,"정상2",B32&gt;=0,"미흡2")</f>
        <v>미흡2</v>
      </c>
    </row>
    <row r="40" spans="1:4" x14ac:dyDescent="0.3">
      <c r="B40" t="s">
        <v>155</v>
      </c>
      <c r="D40" t="s">
        <v>154</v>
      </c>
    </row>
    <row r="41" spans="1:4" x14ac:dyDescent="0.3">
      <c r="B41" t="str" cm="1">
        <f t="array" ref="B41">_xlfn.IFS(B40="인사부","산",B40="영업부","바다",B40="부부","안방",B40="두부","콩밭")</f>
        <v>안방</v>
      </c>
    </row>
    <row r="43" spans="1:4" x14ac:dyDescent="0.3">
      <c r="B43" t="s">
        <v>156</v>
      </c>
    </row>
    <row r="44" spans="1:4" x14ac:dyDescent="0.3">
      <c r="B44" t="str" cm="1">
        <f t="array" ref="B44">_xlfn.SWITCH(B40,"인사부","산","영업부","바다","부부","안방","두부","콩밭")</f>
        <v>안방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8"/>
  <sheetViews>
    <sheetView workbookViewId="0"/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activeCell="B32" sqref="B32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conditionalFormatting sqref="A4:H18">
    <cfRule type="expression" dxfId="2" priority="1">
      <formula>LEFT($A4,4)="2024"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5"/>
  <sheetViews>
    <sheetView workbookViewId="0"/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5"/>
  <sheetViews>
    <sheetView workbookViewId="0">
      <selection activeCell="F33" sqref="F33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1" priority="1">
      <formula>AND($C4="차장",$G4&lt;5000000)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8" t="s">
        <v>113</v>
      </c>
      <c r="B1" s="8"/>
      <c r="C1" s="8"/>
      <c r="D1" s="8"/>
      <c r="E1" s="8"/>
      <c r="F1" s="8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8" t="s">
        <v>113</v>
      </c>
      <c r="B1" s="8"/>
      <c r="C1" s="8"/>
      <c r="D1" s="8"/>
      <c r="E1" s="8"/>
      <c r="F1" s="8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conditionalFormatting sqref="A4:F14">
    <cfRule type="expression" dxfId="0" priority="1">
      <formula>OR(LEFT($C4,1)="P",LEFT($C4,1)="S")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수식</vt:lpstr>
      <vt:lpstr>조건부1</vt:lpstr>
      <vt:lpstr>조건부1(결과)</vt:lpstr>
      <vt:lpstr>조건부2</vt:lpstr>
      <vt:lpstr>조건부2(결과)</vt:lpstr>
      <vt:lpstr>조건부3</vt:lpstr>
      <vt:lpstr>조건부3(결과)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2020-04-05T04:14:40Z</dcterms:created>
  <dcterms:modified xsi:type="dcterms:W3CDTF">2026-07-08T10:53:55Z</dcterms:modified>
</cp:coreProperties>
</file>
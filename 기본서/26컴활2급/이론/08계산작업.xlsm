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8806C92A-E92B-4859-9FEA-96DA5BF616A6}" xr6:coauthVersionLast="47" xr6:coauthVersionMax="47" xr10:uidLastSave="{00000000-0000-0000-0000-000000000000}"/>
  <bookViews>
    <workbookView xWindow="22932" yWindow="-108" windowWidth="23256" windowHeight="12576" tabRatio="890" firstSheet="12" activeTab="18" xr2:uid="{00000000-000D-0000-FFFF-FFFF00000000}"/>
  </bookViews>
  <sheets>
    <sheet name="계산" sheetId="14" r:id="rId1"/>
    <sheet name="계산(결과)" sheetId="1" r:id="rId2"/>
    <sheet name="데이터베이스" sheetId="15" r:id="rId3"/>
    <sheet name="데이터베이스(결과)" sheetId="2" r:id="rId4"/>
    <sheet name="수학삼각1" sheetId="16" r:id="rId5"/>
    <sheet name="수학삼각1(결과)" sheetId="3" r:id="rId6"/>
    <sheet name="수학삼각2" sheetId="17" r:id="rId7"/>
    <sheet name="수학삼각2(결과)" sheetId="4" r:id="rId8"/>
    <sheet name="통계1" sheetId="18" r:id="rId9"/>
    <sheet name="통계1(결과)" sheetId="5" r:id="rId10"/>
    <sheet name="통계2" sheetId="19" r:id="rId11"/>
    <sheet name="통계2(결과)" sheetId="6" r:id="rId12"/>
    <sheet name="찾기참조1" sheetId="20" r:id="rId13"/>
    <sheet name="찾기참조1(결과)" sheetId="7" r:id="rId14"/>
    <sheet name="찾기참조2" sheetId="8" r:id="rId15"/>
    <sheet name="찾기참조2(결과)" sheetId="21" r:id="rId16"/>
    <sheet name="날짜1" sheetId="9" r:id="rId17"/>
    <sheet name="날짜1(결과)" sheetId="22" r:id="rId18"/>
    <sheet name="날짜2" sheetId="23" r:id="rId19"/>
    <sheet name="날짜2(결과)" sheetId="10" r:id="rId20"/>
    <sheet name="텍스트" sheetId="11" r:id="rId21"/>
    <sheet name="텍스트(결과)" sheetId="24" r:id="rId22"/>
    <sheet name="논리1" sheetId="12" r:id="rId23"/>
    <sheet name="논리1(결과)" sheetId="25" r:id="rId24"/>
    <sheet name="논리2" sheetId="13" r:id="rId25"/>
    <sheet name="논리2(결과)" sheetId="27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4" i="23" l="1"/>
  <c r="I15" i="23"/>
  <c r="I16" i="23"/>
  <c r="I17" i="23"/>
  <c r="I13" i="23"/>
  <c r="C14" i="23"/>
  <c r="C15" i="23"/>
  <c r="C16" i="23"/>
  <c r="C17" i="23"/>
  <c r="C18" i="23"/>
  <c r="C19" i="23"/>
  <c r="C20" i="23"/>
  <c r="C13" i="23"/>
  <c r="I4" i="23"/>
  <c r="I5" i="23"/>
  <c r="I6" i="23"/>
  <c r="I7" i="23"/>
  <c r="I8" i="23"/>
  <c r="I9" i="23"/>
  <c r="I3" i="23"/>
  <c r="I21" i="23"/>
  <c r="I22" i="23"/>
  <c r="I23" i="23"/>
  <c r="I24" i="23"/>
  <c r="I25" i="23"/>
  <c r="I26" i="23"/>
  <c r="M21" i="23"/>
  <c r="N22" i="23"/>
  <c r="N23" i="23"/>
  <c r="N24" i="23"/>
  <c r="N25" i="23"/>
  <c r="N26" i="23"/>
  <c r="N21" i="23"/>
  <c r="M22" i="23"/>
  <c r="M23" i="23"/>
  <c r="M24" i="23"/>
  <c r="M25" i="23"/>
  <c r="M26" i="23"/>
  <c r="L22" i="23"/>
  <c r="L23" i="23"/>
  <c r="L24" i="23"/>
  <c r="L25" i="23"/>
  <c r="L26" i="23"/>
  <c r="L21" i="23"/>
  <c r="K22" i="23"/>
  <c r="K23" i="23"/>
  <c r="K24" i="23"/>
  <c r="K25" i="23"/>
  <c r="K26" i="23"/>
  <c r="K21" i="23"/>
  <c r="J22" i="23"/>
  <c r="J23" i="23"/>
  <c r="J24" i="23"/>
  <c r="J25" i="23"/>
  <c r="J26" i="23"/>
  <c r="J21" i="23"/>
  <c r="D3" i="23"/>
  <c r="D4" i="23"/>
  <c r="D5" i="23"/>
  <c r="D6" i="23"/>
  <c r="D7" i="23"/>
  <c r="D8" i="23"/>
  <c r="D9" i="23"/>
  <c r="J16" i="9"/>
  <c r="J17" i="9"/>
  <c r="J18" i="9"/>
  <c r="J19" i="9"/>
  <c r="J20" i="9"/>
  <c r="J21" i="9"/>
  <c r="J22" i="9"/>
  <c r="J23" i="9"/>
  <c r="J24" i="9"/>
  <c r="J15" i="9"/>
  <c r="D15" i="9"/>
  <c r="D16" i="9"/>
  <c r="D17" i="9"/>
  <c r="D18" i="9"/>
  <c r="D19" i="9"/>
  <c r="D20" i="9"/>
  <c r="D21" i="9"/>
  <c r="D22" i="9"/>
  <c r="D23" i="9"/>
  <c r="D24" i="9"/>
  <c r="J3" i="9"/>
  <c r="J4" i="9"/>
  <c r="J5" i="9"/>
  <c r="J6" i="9"/>
  <c r="J7" i="9"/>
  <c r="J8" i="9"/>
  <c r="J9" i="9"/>
  <c r="J10" i="9"/>
  <c r="J11" i="9"/>
  <c r="D3" i="9"/>
  <c r="D4" i="9"/>
  <c r="D5" i="9"/>
  <c r="D6" i="9"/>
  <c r="D7" i="9"/>
  <c r="D8" i="9"/>
  <c r="D9" i="9"/>
  <c r="D10" i="9"/>
  <c r="D11" i="9"/>
  <c r="B17" i="8" l="1"/>
  <c r="C17" i="8"/>
  <c r="D17" i="8"/>
  <c r="A19" i="8"/>
  <c r="A20" i="8"/>
  <c r="A21" i="8"/>
  <c r="A22" i="8"/>
  <c r="A23" i="8"/>
  <c r="A24" i="8"/>
  <c r="A25" i="8"/>
  <c r="A26" i="8"/>
  <c r="A27" i="8"/>
  <c r="A18" i="8"/>
  <c r="I3" i="8"/>
  <c r="I4" i="8"/>
  <c r="I5" i="8"/>
  <c r="I6" i="8"/>
  <c r="I7" i="8"/>
  <c r="I8" i="8"/>
  <c r="I9" i="8"/>
  <c r="H28" i="8" a="1"/>
  <c r="H28" i="8" s="1"/>
  <c r="D3" i="8"/>
  <c r="D4" i="8"/>
  <c r="D5" i="8"/>
  <c r="D6" i="8"/>
  <c r="D7" i="8"/>
  <c r="D8" i="8"/>
  <c r="D9" i="8"/>
  <c r="D10" i="8"/>
  <c r="J36" i="19"/>
  <c r="C34" i="19"/>
  <c r="F3" i="19"/>
  <c r="F4" i="19"/>
  <c r="F5" i="19"/>
  <c r="F6" i="19"/>
  <c r="F7" i="19"/>
  <c r="F8" i="19"/>
  <c r="F9" i="19"/>
  <c r="F10" i="19"/>
  <c r="F11" i="19"/>
  <c r="F12" i="19"/>
  <c r="K17" i="19"/>
  <c r="K18" i="19"/>
  <c r="K19" i="19"/>
  <c r="K20" i="19"/>
  <c r="K21" i="19"/>
  <c r="K22" i="19"/>
  <c r="K23" i="19"/>
  <c r="K24" i="19"/>
  <c r="K16" i="19"/>
  <c r="F16" i="19"/>
  <c r="F17" i="19"/>
  <c r="F18" i="19"/>
  <c r="F19" i="19"/>
  <c r="F20" i="19"/>
  <c r="F21" i="19"/>
  <c r="F22" i="19"/>
  <c r="F23" i="19"/>
  <c r="F24" i="19"/>
  <c r="L12" i="19"/>
  <c r="J14" i="20"/>
  <c r="J15" i="20"/>
  <c r="J16" i="20"/>
  <c r="J17" i="20"/>
  <c r="J18" i="20"/>
  <c r="J19" i="20"/>
  <c r="J20" i="20"/>
  <c r="J21" i="20"/>
  <c r="J22" i="20"/>
  <c r="I4" i="20"/>
  <c r="I5" i="20"/>
  <c r="I6" i="20"/>
  <c r="I7" i="20"/>
  <c r="I8" i="20"/>
  <c r="I9" i="20"/>
  <c r="I10" i="20"/>
  <c r="I3" i="20"/>
  <c r="D14" i="20"/>
  <c r="D15" i="20"/>
  <c r="D16" i="20"/>
  <c r="D17" i="20"/>
  <c r="D18" i="20"/>
  <c r="D19" i="20"/>
  <c r="D20" i="20"/>
  <c r="D21" i="20"/>
  <c r="D22" i="20"/>
  <c r="D4" i="20"/>
  <c r="D5" i="20"/>
  <c r="D6" i="20"/>
  <c r="D7" i="20"/>
  <c r="D8" i="20"/>
  <c r="D9" i="20"/>
  <c r="D10" i="20"/>
  <c r="D3" i="20"/>
  <c r="J29" i="18" l="1"/>
  <c r="E30" i="18"/>
  <c r="K24" i="18"/>
  <c r="E24" i="18"/>
  <c r="J11" i="18"/>
  <c r="D11" i="18"/>
  <c r="J16" i="17"/>
  <c r="J17" i="17"/>
  <c r="J18" i="17"/>
  <c r="J19" i="17"/>
  <c r="J20" i="17"/>
  <c r="J15" i="17"/>
  <c r="E16" i="17"/>
  <c r="E17" i="17"/>
  <c r="E18" i="17"/>
  <c r="E19" i="17"/>
  <c r="E20" i="17"/>
  <c r="E15" i="17"/>
  <c r="J4" i="17"/>
  <c r="J5" i="17"/>
  <c r="J6" i="17"/>
  <c r="J7" i="17"/>
  <c r="J8" i="17"/>
  <c r="J9" i="17"/>
  <c r="J10" i="17"/>
  <c r="J11" i="17"/>
  <c r="J3" i="17"/>
  <c r="M3" i="17"/>
  <c r="L3" i="17"/>
  <c r="K3" i="17"/>
  <c r="D11" i="17"/>
  <c r="L40" i="15"/>
  <c r="D39" i="15"/>
  <c r="M25" i="15"/>
  <c r="E25" i="15"/>
  <c r="L11" i="15"/>
  <c r="E11" i="15"/>
  <c r="L25" i="16"/>
  <c r="E25" i="16"/>
  <c r="E26" i="16"/>
  <c r="E27" i="16"/>
  <c r="K12" i="16"/>
  <c r="E11" i="16" l="1"/>
  <c r="E4" i="16"/>
  <c r="E5" i="16"/>
  <c r="E6" i="16"/>
  <c r="E7" i="16"/>
  <c r="E8" i="16"/>
  <c r="E9" i="16"/>
  <c r="E10" i="16"/>
  <c r="E12" i="16"/>
  <c r="E3" i="16"/>
  <c r="D23" i="14"/>
  <c r="D24" i="14"/>
  <c r="D25" i="14"/>
  <c r="D26" i="14"/>
  <c r="D27" i="14"/>
  <c r="D22" i="14"/>
  <c r="I13" i="14"/>
  <c r="I14" i="14"/>
  <c r="I15" i="14"/>
  <c r="I16" i="14"/>
  <c r="I17" i="14"/>
  <c r="I12" i="14"/>
  <c r="I4" i="14"/>
  <c r="I5" i="14"/>
  <c r="I6" i="14"/>
  <c r="I7" i="14"/>
  <c r="I3" i="14"/>
  <c r="E14" i="14"/>
  <c r="E15" i="14"/>
  <c r="E16" i="14"/>
  <c r="E17" i="14"/>
  <c r="E13" i="14"/>
  <c r="D4" i="14"/>
  <c r="D5" i="14"/>
  <c r="D6" i="14"/>
  <c r="D7" i="14"/>
  <c r="D8" i="14"/>
  <c r="E25" i="3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E4" i="27" l="1"/>
  <c r="E5" i="27"/>
  <c r="E6" i="27"/>
  <c r="E7" i="27"/>
  <c r="E8" i="27"/>
  <c r="E9" i="27"/>
  <c r="E10" i="27"/>
  <c r="E11" i="27"/>
  <c r="E12" i="27"/>
  <c r="E3" i="27"/>
  <c r="E11" i="3" l="1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D3" i="14" s="1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<sst xmlns="http://schemas.openxmlformats.org/spreadsheetml/2006/main" count="2973" uniqueCount="1162">
  <si>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</si>
  <si>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</si>
  <si>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</si>
  <si>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</si>
  <si>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</si>
  <si>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</si>
  <si>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</si>
  <si>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</si>
  <si>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</si>
  <si>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</si>
  <si>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</si>
  <si>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</si>
  <si>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</si>
  <si>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</si>
  <si>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</si>
  <si>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</si>
  <si>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</si>
  <si>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</si>
  <si>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</si>
  <si>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</si>
  <si>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</si>
  <si>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</si>
  <si>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</si>
  <si>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</si>
  <si>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</si>
  <si>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</si>
  <si>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</si>
  <si>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</si>
  <si>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</si>
  <si>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</si>
  <si>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</si>
  <si>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</si>
  <si>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</si>
  <si>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</si>
  <si>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</si>
  <si>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</si>
  <si>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</si>
  <si>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</si>
  <si>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</si>
  <si>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</si>
  <si>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</si>
  <si>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</si>
  <si>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</si>
  <si>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</si>
  <si>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</si>
  <si>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</si>
  <si>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</si>
  <si>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</si>
  <si>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</si>
  <si>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</si>
  <si>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</si>
  <si>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</si>
  <si>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</si>
  <si>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</si>
  <si>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</si>
  <si>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</si>
  <si>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</si>
  <si>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</si>
  <si>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</si>
  <si>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</si>
  <si>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</si>
  <si>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</si>
  <si>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</si>
  <si>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</si>
  <si>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</si>
  <si>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</si>
  <si>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</si>
  <si>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</si>
  <si>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</si>
  <si>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</si>
  <si>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</si>
  <si>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</si>
  <si>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</si>
  <si>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</si>
  <si>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</si>
  <si>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</si>
  <si>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</si>
  <si>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</si>
  <si>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</si>
  <si>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</si>
  <si>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</si>
  <si>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</si>
  <si>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</si>
  <si>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</si>
  <si>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</si>
  <si>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</si>
  <si>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</si>
  <si>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</si>
  <si>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</si>
  <si>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</si>
  <si>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</si>
  <si>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</si>
  <si>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</si>
  <si>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</si>
  <si>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</si>
  <si>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</si>
  <si>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</si>
  <si>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</si>
  <si>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</si>
  <si>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</si>
  <si>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</si>
  <si>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</si>
  <si>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</si>
  <si>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</si>
  <si>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</si>
  <si>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</si>
  <si>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</si>
  <si>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</si>
  <si>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</si>
  <si>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</si>
  <si>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</si>
  <si>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</si>
  <si>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</si>
  <si>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</si>
  <si>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</si>
  <si>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</si>
  <si>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</si>
  <si>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</si>
  <si>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</si>
  <si>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</si>
  <si>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</si>
  <si>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</si>
  <si>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</si>
  <si>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</si>
  <si>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</si>
  <si>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</si>
  <si>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</si>
  <si>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</si>
  <si>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</si>
  <si>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</si>
  <si>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</si>
  <si>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</si>
  <si>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</si>
  <si>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</si>
  <si>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</si>
  <si>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</si>
  <si>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</si>
  <si>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</si>
  <si>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</si>
  <si>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</si>
  <si>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</si>
  <si>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</si>
  <si>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</si>
  <si>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</si>
  <si>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</si>
  <si>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</si>
  <si>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</si>
  <si>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</si>
  <si>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</si>
  <si>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</si>
  <si>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</si>
  <si>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</si>
  <si>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</si>
  <si>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</si>
  <si>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</si>
  <si>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</si>
  <si>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</si>
  <si>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</si>
  <si>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</si>
  <si>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</si>
  <si>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</si>
  <si>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</si>
  <si>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</si>
  <si>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</si>
  <si>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</si>
  <si>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</si>
  <si>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</si>
  <si>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</si>
  <si>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</si>
  <si>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</si>
  <si>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</si>
  <si>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</si>
  <si>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</si>
  <si>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</si>
  <si>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</si>
  <si>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</si>
  <si>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</si>
  <si>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</si>
  <si>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</si>
  <si>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</si>
  <si>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</si>
  <si>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</si>
  <si>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</si>
  <si>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</si>
  <si>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</si>
  <si>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</si>
  <si>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</si>
  <si>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</si>
  <si>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</si>
  <si>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</si>
  <si>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</si>
  <si>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</si>
  <si>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</si>
  <si>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</si>
  <si>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</si>
  <si>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</si>
  <si>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</si>
  <si>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</si>
  <si>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</si>
  <si>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</si>
  <si>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</si>
  <si>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</si>
  <si>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</si>
  <si>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</si>
  <si>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</si>
  <si>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</si>
  <si>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</si>
  <si>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</si>
  <si>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</si>
  <si>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</si>
  <si>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</si>
  <si>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</si>
  <si>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</si>
  <si>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</si>
  <si>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</si>
  <si>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</si>
  <si>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</si>
  <si>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</si>
  <si>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</si>
  <si>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</si>
  <si>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</si>
  <si>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</si>
  <si>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</si>
  <si>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</si>
  <si>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</si>
  <si>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</si>
  <si>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</si>
  <si>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</si>
  <si>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</si>
  <si>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</si>
  <si>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</si>
  <si>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</si>
  <si>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</si>
  <si>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</si>
  <si>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</si>
  <si>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</si>
  <si>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</si>
  <si>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</si>
  <si>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</si>
  <si>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</si>
  <si>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</si>
  <si>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</si>
  <si>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</si>
  <si>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</si>
  <si>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</si>
  <si>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</si>
  <si>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</si>
  <si>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</si>
  <si>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</si>
  <si>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</si>
  <si>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</si>
  <si>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</si>
  <si>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</si>
  <si>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</si>
  <si>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</si>
  <si>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</si>
  <si>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</si>
  <si>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</si>
  <si>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</si>
  <si>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</si>
  <si>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</si>
  <si>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</si>
  <si>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</si>
  <si>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</si>
  <si>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</si>
  <si>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</si>
  <si>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</si>
  <si>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</si>
  <si>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</si>
  <si>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</si>
  <si>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</si>
  <si>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</si>
  <si>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</si>
  <si>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</si>
  <si>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</si>
  <si>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</si>
  <si>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</si>
  <si>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</si>
  <si>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</si>
  <si>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</si>
  <si>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</si>
  <si>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</si>
  <si>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</si>
  <si>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</si>
  <si>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</si>
  <si>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</si>
  <si>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</si>
  <si>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</si>
  <si>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</si>
  <si>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</si>
  <si>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</si>
  <si>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</si>
  <si>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</si>
  <si>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</si>
  <si>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</si>
  <si>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</si>
  <si>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</si>
  <si>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</si>
  <si>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</si>
  <si>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</si>
  <si>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</si>
  <si>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</si>
  <si>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</si>
  <si>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</si>
  <si>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</si>
  <si>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</si>
  <si>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</si>
  <si>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</si>
  <si>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</si>
  <si>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</si>
  <si>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</si>
  <si>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</si>
  <si>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</si>
  <si>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</si>
  <si>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</si>
  <si>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</si>
  <si>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</si>
  <si>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</si>
  <si>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</si>
  <si>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</si>
  <si>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</si>
  <si>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</si>
  <si>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</si>
  <si>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</si>
  <si>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</si>
  <si>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</si>
  <si>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</si>
  <si>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</si>
  <si>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</si>
  <si>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</si>
  <si>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</si>
  <si>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</si>
  <si>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</si>
  <si>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</si>
  <si>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</si>
  <si>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</si>
  <si>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</si>
  <si>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</si>
  <si>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</si>
  <si>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</si>
  <si>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</si>
  <si>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</si>
  <si>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</si>
  <si>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</si>
  <si>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</si>
  <si>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</si>
  <si>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</si>
  <si>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</si>
  <si>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</si>
  <si>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</si>
  <si>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</si>
  <si>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</si>
  <si>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</si>
  <si>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</si>
  <si>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</si>
  <si>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</si>
  <si>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</si>
  <si>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</si>
  <si>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</si>
  <si>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</si>
  <si>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</si>
  <si>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</si>
  <si>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</si>
  <si>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</si>
  <si>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</si>
  <si>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</si>
  <si>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</si>
  <si>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</si>
  <si>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</si>
  <si>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</si>
  <si>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</si>
  <si>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</si>
  <si>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</si>
  <si>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</si>
  <si>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</si>
  <si>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</si>
  <si>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</si>
  <si>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</si>
  <si>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</si>
  <si>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</si>
  <si>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</si>
  <si>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</si>
  <si>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</si>
  <si>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</si>
  <si>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</si>
  <si>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</si>
  <si>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</si>
  <si>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</si>
  <si>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</si>
  <si>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</si>
  <si>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</si>
  <si>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</si>
  <si>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</si>
  <si>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</si>
  <si>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</si>
  <si>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</si>
  <si>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</si>
  <si>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</si>
  <si>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</si>
  <si>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</si>
  <si>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</si>
  <si>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</si>
  <si>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</si>
  <si>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</si>
  <si>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</si>
  <si>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</si>
  <si>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</si>
  <si>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</si>
  <si>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</si>
  <si>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</si>
  <si>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</si>
  <si>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</si>
  <si>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</si>
  <si>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</si>
  <si>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</si>
  <si>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</si>
  <si>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</si>
  <si>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</si>
  <si>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</si>
  <si>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</si>
  <si>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</si>
  <si>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</si>
  <si>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</si>
  <si>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</si>
  <si>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</si>
  <si>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</si>
  <si>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</si>
  <si>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</si>
  <si>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</si>
  <si>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</si>
  <si>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</si>
  <si>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</si>
  <si>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</si>
  <si>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</si>
  <si>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</si>
  <si>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</si>
  <si>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</si>
  <si>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</si>
  <si>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</si>
  <si>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</si>
  <si>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</si>
  <si>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</si>
  <si>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</si>
  <si>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</si>
  <si>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</si>
  <si>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</si>
  <si>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</si>
  <si>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</si>
  <si>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</si>
  <si>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</si>
  <si>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</si>
  <si>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</si>
  <si>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</si>
  <si>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</si>
  <si>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</si>
  <si>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</si>
  <si>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</si>
  <si>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</si>
  <si>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</si>
  <si>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</si>
  <si>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</si>
  <si>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</si>
  <si>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</si>
  <si>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</si>
  <si>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</si>
  <si>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</si>
  <si>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</si>
  <si>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</si>
  <si>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</si>
  <si>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</si>
  <si>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</si>
  <si>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</si>
  <si>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</si>
  <si>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</si>
  <si>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</si>
  <si>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</si>
  <si>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</si>
  <si>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</si>
  <si>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</si>
  <si>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</si>
  <si>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</si>
  <si>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</si>
  <si>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</si>
  <si>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</si>
  <si>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</si>
  <si>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</si>
  <si>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</si>
  <si>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</si>
  <si>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</si>
  <si>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</si>
  <si>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</si>
  <si>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</si>
  <si>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</si>
  <si>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</si>
  <si>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</si>
  <si>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</si>
  <si>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</si>
  <si>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</si>
  <si>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</si>
  <si>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</si>
  <si>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</si>
  <si>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</si>
  <si>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</si>
  <si>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</si>
  <si>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</si>
  <si>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</si>
  <si>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</si>
  <si>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</si>
  <si>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</si>
  <si>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</si>
  <si>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</si>
  <si>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</si>
  <si>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</si>
  <si>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</si>
  <si>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</si>
  <si>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</si>
  <si>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</si>
  <si>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</si>
  <si>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</si>
  <si>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</si>
  <si>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</si>
  <si>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</si>
  <si>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</si>
  <si>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</si>
  <si>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</si>
  <si>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</si>
  <si>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</si>
  <si>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</si>
  <si>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</si>
  <si>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</si>
  <si>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</si>
  <si>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</si>
  <si>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</si>
  <si>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</si>
  <si>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</si>
  <si>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</si>
  <si>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</si>
  <si>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</si>
  <si>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</si>
  <si>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</si>
  <si>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</si>
  <si>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</si>
  <si>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</si>
  <si>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</si>
  <si>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</si>
  <si>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</si>
  <si>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</si>
  <si>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</si>
  <si>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</si>
  <si>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</si>
  <si>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</si>
  <si>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</si>
  <si>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</si>
  <si>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</si>
  <si>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</si>
  <si>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</si>
  <si>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</si>
  <si>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</si>
  <si>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</si>
  <si>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</si>
  <si>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</si>
  <si>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</si>
  <si>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</si>
  <si>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</si>
  <si>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</si>
  <si>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</si>
  <si>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</si>
  <si>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</si>
  <si>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</si>
  <si>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</si>
  <si>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</si>
  <si>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</si>
  <si>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</si>
  <si>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</si>
  <si>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</si>
  <si>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</si>
  <si>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</si>
  <si>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</si>
  <si>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</si>
  <si>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</si>
  <si>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</si>
  <si>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</si>
  <si>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</si>
  <si>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</si>
  <si>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</si>
  <si>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</si>
  <si>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</si>
  <si>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</si>
  <si>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</si>
  <si>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</si>
  <si>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</si>
  <si>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</si>
  <si>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</si>
  <si>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</si>
  <si>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</si>
  <si>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</si>
  <si>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</si>
  <si>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</si>
  <si>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</si>
  <si>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</si>
  <si>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</si>
  <si>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</si>
  <si>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</si>
  <si>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</si>
  <si>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</si>
  <si>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</si>
  <si>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</si>
  <si>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</si>
  <si>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</si>
  <si>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</si>
  <si>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</si>
  <si>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</si>
  <si>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</si>
  <si>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</si>
  <si>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</si>
  <si>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</si>
  <si>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</si>
  <si>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</si>
  <si>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</si>
  <si>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</si>
  <si>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</si>
  <si>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</si>
  <si>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</si>
  <si>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</si>
  <si>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</si>
  <si>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</si>
  <si>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</si>
  <si>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</si>
  <si>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</si>
  <si>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</si>
  <si>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</si>
  <si>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</si>
  <si>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</si>
  <si>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</si>
  <si>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</si>
  <si>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</si>
  <si>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</si>
  <si>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</si>
  <si>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</si>
  <si>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</si>
  <si>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</si>
  <si>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</si>
  <si>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</si>
  <si>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</si>
  <si>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</si>
  <si>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</si>
  <si>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</si>
  <si>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</si>
  <si>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</si>
  <si>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</si>
  <si>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</si>
  <si>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</si>
  <si>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</si>
  <si>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</si>
  <si>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</si>
  <si>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</si>
  <si>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</si>
  <si>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</si>
  <si>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</si>
  <si>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</si>
  <si>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</si>
  <si>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</si>
  <si>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</si>
  <si>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</si>
  <si>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</si>
  <si>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</si>
  <si>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</si>
  <si>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</si>
  <si>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</si>
  <si>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</si>
  <si>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</si>
  <si>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</si>
  <si>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</si>
  <si>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</si>
  <si>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</si>
  <si>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</si>
  <si>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</si>
  <si>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</si>
  <si>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</si>
  <si>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</si>
  <si>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</si>
  <si>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</si>
  <si>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</si>
  <si>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</si>
  <si>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</si>
  <si>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</si>
  <si>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</si>
  <si>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</si>
  <si>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</si>
  <si>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</si>
  <si>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</si>
  <si>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</si>
  <si>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</si>
  <si>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</si>
  <si>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</si>
  <si>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</si>
  <si>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</si>
  <si>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</si>
  <si>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</si>
  <si>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</si>
  <si>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</si>
  <si>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</si>
  <si>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</si>
  <si>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</si>
  <si>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</si>
  <si>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</si>
  <si>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</si>
  <si>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</si>
  <si>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</si>
  <si>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</si>
  <si>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</si>
  <si>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</si>
  <si>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</si>
  <si>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</si>
  <si>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</si>
  <si>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</si>
  <si>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</si>
  <si>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</si>
  <si>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</si>
  <si>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</si>
  <si>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</si>
  <si>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</si>
  <si>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</si>
  <si>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</si>
  <si>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</si>
  <si>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</si>
  <si>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</si>
  <si>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</si>
  <si>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</si>
  <si>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</si>
  <si>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</si>
  <si>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</si>
  <si>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</si>
  <si>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</si>
  <si>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</si>
  <si>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</si>
  <si>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</si>
  <si>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</si>
  <si>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</si>
  <si>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</si>
  <si>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</si>
  <si>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</si>
  <si>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</si>
  <si>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</si>
  <si>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</si>
  <si>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</si>
  <si>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</si>
  <si>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</si>
  <si>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</si>
  <si>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</si>
  <si>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</si>
  <si>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</si>
  <si>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</si>
  <si>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</si>
  <si>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</si>
  <si>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</si>
  <si>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</si>
  <si>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</si>
  <si>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</si>
  <si>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</si>
  <si>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</si>
  <si>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</si>
  <si>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</si>
  <si>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</si>
  <si>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</si>
  <si>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</si>
  <si>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</si>
  <si>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</si>
  <si>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</si>
  <si>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</si>
  <si>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</si>
  <si>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</si>
  <si>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</si>
  <si>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</si>
  <si>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</si>
  <si>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</si>
  <si>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</si>
  <si>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</si>
  <si>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</si>
  <si>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</si>
  <si>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</si>
  <si>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</si>
  <si>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</si>
  <si>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</si>
  <si>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</si>
  <si>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</si>
  <si>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</si>
  <si>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</si>
  <si>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</si>
  <si>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</si>
  <si>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</si>
  <si>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</si>
  <si>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</si>
  <si>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</si>
  <si>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</si>
  <si>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</si>
  <si>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</si>
  <si>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</si>
  <si>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</si>
  <si>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</si>
  <si>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</si>
  <si>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</si>
  <si>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</si>
  <si>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</si>
  <si>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</si>
  <si>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</si>
  <si>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</si>
  <si>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</si>
  <si>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</si>
  <si>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</si>
  <si>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</si>
  <si>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</si>
  <si>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</si>
  <si>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</si>
  <si>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</si>
  <si>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</si>
  <si>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</si>
  <si>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</si>
  <si>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</si>
  <si>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</si>
  <si>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</si>
  <si>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</si>
  <si>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</si>
  <si>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</si>
  <si>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</si>
  <si>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</si>
  <si>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</si>
  <si>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</si>
  <si>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</si>
  <si>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</si>
  <si>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</si>
  <si>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</si>
  <si>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</si>
  <si>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</si>
  <si>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</si>
  <si>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</si>
  <si>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</si>
  <si>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</si>
  <si>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</si>
  <si>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</si>
  <si>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</si>
  <si>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</si>
  <si>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</si>
  <si>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</si>
  <si>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</si>
  <si>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</si>
  <si>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</si>
  <si>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</si>
  <si>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</si>
  <si>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</si>
  <si>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</si>
  <si>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</si>
  <si>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</si>
  <si>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</si>
  <si>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</si>
  <si>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</si>
  <si>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</si>
  <si>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</si>
  <si>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</si>
  <si>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</si>
  <si>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</si>
  <si>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</si>
  <si>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</si>
  <si>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</si>
  <si>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</si>
  <si>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</si>
  <si>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</si>
  <si>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</si>
  <si>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</si>
  <si>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</si>
  <si>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</si>
  <si>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</si>
  <si>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</si>
  <si>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</si>
  <si>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</si>
  <si>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</si>
  <si>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</si>
  <si>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</si>
  <si>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</si>
  <si>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</si>
  <si>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</si>
  <si>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</si>
  <si>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</si>
  <si>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</si>
  <si>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</si>
  <si>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</si>
  <si>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</si>
  <si>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</si>
  <si>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</si>
  <si>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</si>
  <si>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</si>
  <si>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</si>
  <si>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</si>
  <si>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</si>
  <si>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</si>
  <si>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</si>
  <si>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</si>
  <si>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</si>
  <si>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</si>
  <si>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</si>
  <si>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</si>
  <si>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</si>
  <si>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</si>
  <si>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</si>
  <si>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</si>
  <si>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</si>
  <si>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</si>
  <si>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</si>
  <si>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</si>
  <si>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</si>
  <si>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</si>
  <si>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</si>
  <si>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</si>
  <si>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</si>
  <si>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</si>
  <si>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</si>
  <si>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</si>
  <si>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</si>
  <si>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</si>
  <si>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</si>
  <si>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</si>
  <si>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</si>
  <si>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</si>
  <si>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</si>
  <si>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</si>
  <si>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</si>
  <si>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</si>
  <si>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</si>
  <si>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</si>
  <si>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</si>
  <si>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</si>
  <si>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</si>
  <si>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</si>
  <si>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</si>
  <si>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</si>
  <si>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</si>
  <si>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</si>
  <si>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</si>
  <si>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</si>
  <si>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</si>
  <si>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</si>
  <si>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</si>
  <si>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</si>
  <si>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</si>
  <si>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</si>
  <si>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</si>
  <si>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</si>
  <si>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</si>
  <si>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</si>
  <si>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</si>
  <si>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</si>
  <si>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</si>
  <si>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</si>
  <si>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</si>
  <si>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</si>
  <si>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</si>
  <si>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</si>
  <si>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</si>
  <si>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</si>
  <si>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</si>
  <si>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</si>
  <si>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</si>
  <si>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</si>
  <si>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</si>
  <si>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</si>
  <si>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</si>
  <si>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</si>
  <si>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</si>
  <si>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</si>
  <si>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</si>
  <si>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</si>
  <si>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</si>
  <si>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</si>
  <si>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</si>
  <si>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</si>
  <si>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</si>
  <si>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</si>
  <si>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</si>
  <si>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</si>
  <si>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</si>
  <si>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</si>
  <si>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</si>
  <si>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</si>
  <si>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</si>
  <si>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</si>
  <si>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</si>
  <si>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</si>
  <si>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</si>
  <si>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</si>
  <si>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</si>
  <si>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</si>
  <si>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</si>
  <si>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</si>
  <si>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</si>
  <si>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</si>
  <si>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</si>
  <si>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</si>
  <si>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</si>
  <si>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</si>
  <si>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</si>
  <si>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</si>
  <si>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</si>
  <si>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</si>
  <si>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</si>
  <si>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</si>
  <si>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</si>
  <si>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</si>
  <si>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</si>
  <si>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</si>
  <si>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</si>
  <si>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</si>
  <si>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</si>
  <si>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</si>
  <si>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</si>
  <si>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</si>
  <si>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</si>
  <si>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</si>
  <si>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</si>
  <si>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</si>
  <si>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</si>
  <si>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</si>
  <si>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</si>
  <si>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</si>
  <si>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</si>
  <si>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</si>
  <si>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</si>
  <si>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</si>
  <si>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</si>
  <si>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</si>
  <si>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</si>
  <si>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</si>
  <si>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</si>
  <si>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</si>
  <si>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</si>
  <si>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</si>
  <si>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</si>
  <si>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</si>
  <si>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</si>
  <si>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</si>
  <si>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</si>
  <si>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</si>
  <si>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</si>
  <si>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</si>
  <si>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</si>
  <si>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</si>
  <si>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</si>
  <si>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</si>
  <si>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</si>
  <si>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</si>
  <si>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</si>
  <si>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</si>
  <si>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</si>
  <si>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</si>
  <si>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</si>
  <si>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</si>
  <si>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</si>
  <si>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</si>
  <si>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</si>
  <si>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</si>
  <si>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</si>
  <si>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</si>
  <si>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</si>
  <si>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</si>
  <si>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</si>
  <si>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</si>
  <si>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</si>
  <si>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</si>
  <si>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</si>
  <si>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</si>
  <si>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</si>
  <si>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</si>
  <si>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</si>
  <si>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</si>
  <si>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</si>
  <si>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</si>
  <si>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</si>
  <si>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</si>
  <si>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</si>
  <si>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</si>
  <si>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</si>
  <si>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</si>
  <si>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</si>
  <si>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</si>
  <si>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</si>
  <si>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</si>
  <si>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</si>
  <si>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</si>
  <si>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</si>
  <si>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</si>
  <si>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</si>
  <si>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</si>
  <si>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</si>
  <si>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</si>
  <si>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</si>
  <si>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</si>
  <si>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</si>
  <si>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</si>
  <si>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</si>
  <si>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</si>
  <si>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</si>
  <si>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</si>
  <si>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</si>
  <si>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</si>
  <si>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</si>
  <si>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</si>
  <si>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</si>
  <si>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</si>
  <si>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</si>
  <si>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</si>
  <si>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</si>
  <si>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</si>
  <si>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</si>
  <si>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</si>
  <si>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</si>
  <si>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</si>
  <si>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</si>
  <si>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</si>
  <si>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</si>
  <si>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</si>
  <si>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</si>
  <si>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</si>
  <si>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</si>
  <si>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</si>
  <si>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</si>
  <si>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</si>
  <si>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</si>
  <si>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</si>
  <si>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</si>
  <si>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</si>
  <si>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</si>
  <si>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</si>
  <si>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</si>
  <si>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</si>
  <si>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</si>
  <si>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</si>
  <si>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</si>
  <si>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</si>
  <si>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</si>
  <si>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</si>
  <si>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</si>
  <si>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</si>
  <si>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</si>
  <si>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</si>
  <si>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</si>
  <si>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</si>
  <si>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</si>
  <si>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</si>
  <si>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</si>
  <si>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</si>
  <si>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</si>
  <si>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</si>
  <si>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</si>
  <si>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</si>
  <si>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</si>
  <si>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</si>
  <si>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</si>
  <si>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</si>
  <si>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</si>
  <si>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</si>
  <si>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</si>
  <si>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</si>
  <si>
    <t>13(4)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</si>
</sst>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53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8" fontId="3" fillId="0" borderId="1" xfId="1" applyNumberFormat="1" applyFont="1" applyFill="1" applyBorder="1" applyAlignment="1">
      <alignment horizontal="right" vertical="center"/>
    </xf>
    <xf numFmtId="1" fontId="0" fillId="0" borderId="0" xfId="0" applyNumberForma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41" fontId="5" fillId="0" borderId="1" xfId="3" applyNumberFormat="1" applyFont="1" applyFill="1" applyBorder="1" applyAlignment="1">
      <alignment horizontal="center" vertical="center"/>
    </xf>
    <xf numFmtId="178" fontId="0" fillId="0" borderId="0" xfId="0" applyNumberFormat="1">
      <alignment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opLeftCell="A19" zoomScale="145" zoomScaleNormal="145" workbookViewId="0">
      <selection activeCell="F23" sqref="F23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875" style="8" bestFit="1" customWidth="1"/>
    <col min="6" max="7" width="9" style="8"/>
    <col min="8" max="8" width="11.125" style="8" customWidth="1"/>
    <col min="9" max="9" width="11.87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81" t="s">
        <v>4</v>
      </c>
      <c r="B2" s="81" t="s">
        <v>5</v>
      </c>
      <c r="C2" s="81" t="s">
        <v>6</v>
      </c>
      <c r="D2" s="86" t="s">
        <v>7</v>
      </c>
      <c r="E2" s="7"/>
      <c r="F2" s="5" t="s">
        <v>8</v>
      </c>
      <c r="G2" s="5" t="s">
        <v>9</v>
      </c>
      <c r="H2" s="81" t="s">
        <v>10</v>
      </c>
      <c r="I2" s="86" t="s">
        <v>11</v>
      </c>
    </row>
    <row r="3" spans="1:9" x14ac:dyDescent="0.3">
      <c r="A3" s="81" t="s">
        <v>12</v>
      </c>
      <c r="B3" s="81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81" t="s">
        <v>14</v>
      </c>
      <c r="B4" s="81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81" t="s">
        <v>16</v>
      </c>
      <c r="B5" s="81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81" t="s">
        <v>18</v>
      </c>
      <c r="B6" s="81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81" t="s">
        <v>20</v>
      </c>
      <c r="B7" s="81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81" t="s">
        <v>22</v>
      </c>
      <c r="B8" s="81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1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1" t="s">
        <v>29</v>
      </c>
      <c r="H11" s="81" t="s">
        <v>30</v>
      </c>
      <c r="I11" s="86" t="s">
        <v>31</v>
      </c>
    </row>
    <row r="12" spans="1:9" x14ac:dyDescent="0.3">
      <c r="A12" s="81" t="s">
        <v>32</v>
      </c>
      <c r="B12" s="81" t="s">
        <v>33</v>
      </c>
      <c r="C12" s="81" t="s">
        <v>34</v>
      </c>
      <c r="D12" s="81" t="s">
        <v>35</v>
      </c>
      <c r="E12" s="86" t="s">
        <v>36</v>
      </c>
      <c r="F12" s="7"/>
      <c r="G12" s="81" t="s">
        <v>37</v>
      </c>
      <c r="H12" s="10">
        <v>75</v>
      </c>
      <c r="I12" s="18">
        <f>(H12*$G$20)*(1-$H$20)</f>
        <v>15000000</v>
      </c>
    </row>
    <row r="13" spans="1:9" x14ac:dyDescent="0.3">
      <c r="A13" s="81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81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81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81" t="s">
        <v>41</v>
      </c>
      <c r="H14" s="10">
        <v>56</v>
      </c>
      <c r="I14" s="18">
        <f t="shared" si="2"/>
        <v>11200000</v>
      </c>
    </row>
    <row r="15" spans="1:9" x14ac:dyDescent="0.3">
      <c r="A15" s="81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81" t="s">
        <v>43</v>
      </c>
      <c r="H15" s="10">
        <v>76</v>
      </c>
      <c r="I15" s="18">
        <f t="shared" si="2"/>
        <v>15200000</v>
      </c>
    </row>
    <row r="16" spans="1:9" x14ac:dyDescent="0.3">
      <c r="A16" s="81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81" t="s">
        <v>45</v>
      </c>
      <c r="H16" s="10">
        <v>56</v>
      </c>
      <c r="I16" s="18">
        <f t="shared" si="2"/>
        <v>11200000</v>
      </c>
    </row>
    <row r="17" spans="1:9" x14ac:dyDescent="0.3">
      <c r="A17" s="81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81" t="s">
        <v>47</v>
      </c>
      <c r="H17" s="10">
        <v>85</v>
      </c>
      <c r="I17" s="18">
        <f t="shared" si="2"/>
        <v>17000000</v>
      </c>
    </row>
    <row r="18" spans="1:9" x14ac:dyDescent="0.3">
      <c r="A18" s="123" t="s">
        <v>48</v>
      </c>
      <c r="B18" s="123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81" t="s">
        <v>49</v>
      </c>
      <c r="H19" s="81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1" t="s">
        <v>53</v>
      </c>
      <c r="B21" s="81" t="s">
        <v>54</v>
      </c>
      <c r="C21" s="81" t="s">
        <v>55</v>
      </c>
      <c r="D21" s="86" t="s">
        <v>56</v>
      </c>
      <c r="E21" s="7"/>
      <c r="F21" s="7"/>
      <c r="G21" s="7"/>
      <c r="H21" s="7"/>
      <c r="I21" s="7"/>
    </row>
    <row r="22" spans="1:9" x14ac:dyDescent="0.3">
      <c r="A22" s="81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81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81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81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81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81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4" t="s">
        <v>63</v>
      </c>
      <c r="B28" s="125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4" t="s">
        <v>64</v>
      </c>
      <c r="B29" s="125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2" t="s">
        <v>4</v>
      </c>
      <c r="B2" s="2" t="s">
        <v>5</v>
      </c>
      <c r="C2" s="2" t="s">
        <v>6</v>
      </c>
      <c r="D2" s="85" t="s">
        <v>7</v>
      </c>
      <c r="E2" s="7"/>
      <c r="F2" s="5" t="s">
        <v>8</v>
      </c>
      <c r="G2" s="5" t="s">
        <v>9</v>
      </c>
      <c r="H2" s="2" t="s">
        <v>10</v>
      </c>
      <c r="I2" s="85" t="s">
        <v>11</v>
      </c>
    </row>
    <row r="3" spans="1:9" x14ac:dyDescent="0.3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5" t="s">
        <v>31</v>
      </c>
    </row>
    <row r="12" spans="1:9" x14ac:dyDescent="0.3">
      <c r="A12" s="2" t="s">
        <v>32</v>
      </c>
      <c r="B12" s="2" t="s">
        <v>33</v>
      </c>
      <c r="C12" s="2" t="s">
        <v>34</v>
      </c>
      <c r="D12" s="2" t="s">
        <v>35</v>
      </c>
      <c r="E12" s="85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 x14ac:dyDescent="0.3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 x14ac:dyDescent="0.3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 x14ac:dyDescent="0.3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 x14ac:dyDescent="0.3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 x14ac:dyDescent="0.3">
      <c r="A18" s="123" t="s">
        <v>48</v>
      </c>
      <c r="B18" s="123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2" t="s">
        <v>53</v>
      </c>
      <c r="B21" s="2" t="s">
        <v>54</v>
      </c>
      <c r="C21" s="2" t="s">
        <v>55</v>
      </c>
      <c r="D21" s="85" t="s">
        <v>56</v>
      </c>
      <c r="E21" s="7"/>
      <c r="F21" s="7"/>
      <c r="G21" s="7"/>
      <c r="H21" s="7"/>
      <c r="I21" s="7"/>
    </row>
    <row r="22" spans="1:9" x14ac:dyDescent="0.3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4" t="s">
        <v>63</v>
      </c>
      <c r="B28" s="125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4" t="s">
        <v>64</v>
      </c>
      <c r="B29" s="125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1"/>
  <sheetViews>
    <sheetView topLeftCell="C15" zoomScale="175" zoomScaleNormal="175" workbookViewId="0">
      <selection activeCell="M25" sqref="M25:N25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1" t="s">
        <v>69</v>
      </c>
      <c r="B2" s="81" t="s">
        <v>70</v>
      </c>
      <c r="C2" s="81" t="s">
        <v>71</v>
      </c>
      <c r="D2" s="81" t="s">
        <v>72</v>
      </c>
      <c r="E2" s="81" t="s">
        <v>73</v>
      </c>
      <c r="F2" s="26"/>
      <c r="G2" s="26"/>
      <c r="H2" s="26"/>
      <c r="I2" s="81" t="s">
        <v>74</v>
      </c>
      <c r="J2" s="81" t="s">
        <v>75</v>
      </c>
      <c r="K2" s="81" t="s">
        <v>76</v>
      </c>
      <c r="L2" s="81" t="s">
        <v>77</v>
      </c>
      <c r="M2" s="26"/>
      <c r="N2" s="26"/>
    </row>
    <row r="3" spans="1:14" x14ac:dyDescent="0.3">
      <c r="A3" s="81" t="s">
        <v>78</v>
      </c>
      <c r="B3" s="81" t="s">
        <v>79</v>
      </c>
      <c r="C3" s="81" t="s">
        <v>80</v>
      </c>
      <c r="D3" s="28">
        <v>28500</v>
      </c>
      <c r="E3" s="28">
        <v>1124</v>
      </c>
      <c r="F3" s="26"/>
      <c r="G3" s="26"/>
      <c r="H3" s="26"/>
      <c r="I3" s="81" t="s">
        <v>81</v>
      </c>
      <c r="J3" s="81" t="s">
        <v>82</v>
      </c>
      <c r="K3" s="28">
        <v>585</v>
      </c>
      <c r="L3" s="83">
        <f t="shared" ref="L3:L10" si="0">K3*12000</f>
        <v>7020000</v>
      </c>
      <c r="M3" s="26"/>
      <c r="N3" s="26"/>
    </row>
    <row r="4" spans="1:14" x14ac:dyDescent="0.3">
      <c r="A4" s="81" t="s">
        <v>83</v>
      </c>
      <c r="B4" s="81" t="s">
        <v>84</v>
      </c>
      <c r="C4" s="81" t="s">
        <v>85</v>
      </c>
      <c r="D4" s="28">
        <v>39000</v>
      </c>
      <c r="E4" s="28">
        <v>1351</v>
      </c>
      <c r="F4" s="26"/>
      <c r="G4" s="26"/>
      <c r="H4" s="26"/>
      <c r="I4" s="81" t="s">
        <v>81</v>
      </c>
      <c r="J4" s="81" t="s">
        <v>87</v>
      </c>
      <c r="K4" s="28">
        <v>594</v>
      </c>
      <c r="L4" s="83">
        <f t="shared" si="0"/>
        <v>7128000</v>
      </c>
      <c r="M4" s="26"/>
      <c r="N4" s="26"/>
    </row>
    <row r="5" spans="1:14" x14ac:dyDescent="0.3">
      <c r="A5" s="81" t="s">
        <v>78</v>
      </c>
      <c r="B5" s="81" t="s">
        <v>88</v>
      </c>
      <c r="C5" s="81" t="s">
        <v>89</v>
      </c>
      <c r="D5" s="28">
        <v>30000</v>
      </c>
      <c r="E5" s="28">
        <v>1122</v>
      </c>
      <c r="F5" s="26"/>
      <c r="G5" s="26"/>
      <c r="H5" s="26"/>
      <c r="I5" s="81" t="s">
        <v>81</v>
      </c>
      <c r="J5" s="81" t="s">
        <v>90</v>
      </c>
      <c r="K5" s="28">
        <v>696</v>
      </c>
      <c r="L5" s="83">
        <f t="shared" si="0"/>
        <v>8352000</v>
      </c>
      <c r="M5" s="26"/>
      <c r="N5" s="26"/>
    </row>
    <row r="6" spans="1:14" x14ac:dyDescent="0.3">
      <c r="A6" s="81" t="s">
        <v>91</v>
      </c>
      <c r="B6" s="81" t="s">
        <v>92</v>
      </c>
      <c r="C6" s="81" t="s">
        <v>93</v>
      </c>
      <c r="D6" s="28">
        <v>40000</v>
      </c>
      <c r="E6" s="28">
        <v>1452</v>
      </c>
      <c r="F6" s="26"/>
      <c r="G6" s="26"/>
      <c r="H6" s="26"/>
      <c r="I6" s="81" t="s">
        <v>81</v>
      </c>
      <c r="J6" s="81" t="s">
        <v>94</v>
      </c>
      <c r="K6" s="28">
        <v>857</v>
      </c>
      <c r="L6" s="83">
        <f t="shared" si="0"/>
        <v>10284000</v>
      </c>
      <c r="M6" s="26"/>
      <c r="N6" s="26"/>
    </row>
    <row r="7" spans="1:14" x14ac:dyDescent="0.3">
      <c r="A7" s="81" t="s">
        <v>83</v>
      </c>
      <c r="B7" s="81" t="s">
        <v>95</v>
      </c>
      <c r="C7" s="81" t="s">
        <v>96</v>
      </c>
      <c r="D7" s="28">
        <v>45500</v>
      </c>
      <c r="E7" s="28">
        <v>1753</v>
      </c>
      <c r="F7" s="26"/>
      <c r="G7" s="26"/>
      <c r="H7" s="26"/>
      <c r="I7" s="81" t="s">
        <v>97</v>
      </c>
      <c r="J7" s="81" t="s">
        <v>98</v>
      </c>
      <c r="K7" s="28">
        <v>584</v>
      </c>
      <c r="L7" s="83">
        <f t="shared" si="0"/>
        <v>7008000</v>
      </c>
      <c r="M7" s="26"/>
      <c r="N7" s="26"/>
    </row>
    <row r="8" spans="1:14" x14ac:dyDescent="0.3">
      <c r="A8" s="81" t="s">
        <v>78</v>
      </c>
      <c r="B8" s="81" t="s">
        <v>99</v>
      </c>
      <c r="C8" s="81" t="s">
        <v>100</v>
      </c>
      <c r="D8" s="28">
        <v>24500</v>
      </c>
      <c r="E8" s="28">
        <v>1654</v>
      </c>
      <c r="F8" s="26"/>
      <c r="G8" s="81" t="s">
        <v>101</v>
      </c>
      <c r="H8" s="26"/>
      <c r="I8" s="81" t="s">
        <v>97</v>
      </c>
      <c r="J8" s="81" t="s">
        <v>102</v>
      </c>
      <c r="K8" s="28">
        <v>429</v>
      </c>
      <c r="L8" s="83">
        <f t="shared" si="0"/>
        <v>5148000</v>
      </c>
      <c r="M8" s="26"/>
      <c r="N8" s="26"/>
    </row>
    <row r="9" spans="1:14" x14ac:dyDescent="0.3">
      <c r="A9" s="81" t="s">
        <v>91</v>
      </c>
      <c r="B9" s="81" t="s">
        <v>103</v>
      </c>
      <c r="C9" s="81" t="s">
        <v>104</v>
      </c>
      <c r="D9" s="28">
        <v>35800</v>
      </c>
      <c r="E9" s="28">
        <v>1324</v>
      </c>
      <c r="F9" s="26"/>
      <c r="G9" s="118" t="s">
        <v>69</v>
      </c>
      <c r="H9" s="26"/>
      <c r="I9" s="81" t="s">
        <v>97</v>
      </c>
      <c r="J9" s="81" t="s">
        <v>105</v>
      </c>
      <c r="K9" s="28">
        <v>826</v>
      </c>
      <c r="L9" s="83">
        <f t="shared" si="0"/>
        <v>9912000</v>
      </c>
      <c r="M9" s="118" t="s">
        <v>74</v>
      </c>
      <c r="N9" s="118" t="s">
        <v>76</v>
      </c>
    </row>
    <row r="10" spans="1:14" x14ac:dyDescent="0.3">
      <c r="A10" s="81" t="s">
        <v>83</v>
      </c>
      <c r="B10" s="81" t="s">
        <v>107</v>
      </c>
      <c r="C10" s="81" t="s">
        <v>108</v>
      </c>
      <c r="D10" s="28">
        <v>50000</v>
      </c>
      <c r="E10" s="28">
        <v>1647</v>
      </c>
      <c r="F10" s="26"/>
      <c r="G10" s="118" t="s">
        <v>83</v>
      </c>
      <c r="H10" s="26"/>
      <c r="I10" s="81" t="s">
        <v>97</v>
      </c>
      <c r="J10" s="81" t="s">
        <v>109</v>
      </c>
      <c r="K10" s="28">
        <v>701</v>
      </c>
      <c r="L10" s="83">
        <f t="shared" si="0"/>
        <v>8412000</v>
      </c>
      <c r="M10" s="118" t="s">
        <v>97</v>
      </c>
      <c r="N10" s="81" t="s">
        <v>1128</v>
      </c>
    </row>
    <row r="11" spans="1:14" x14ac:dyDescent="0.3">
      <c r="A11" s="129" t="s">
        <v>110</v>
      </c>
      <c r="B11" s="130"/>
      <c r="C11" s="130"/>
      <c r="D11" s="131"/>
      <c r="E11" s="30" t="str">
        <f>DSUM(A2:E10,5,G9:G10)&amp;"매"</f>
        <v>4751매</v>
      </c>
      <c r="F11" s="26"/>
      <c r="G11" s="26"/>
      <c r="H11" s="26"/>
      <c r="I11" s="132" t="s">
        <v>111</v>
      </c>
      <c r="J11" s="132"/>
      <c r="K11" s="132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81" t="s">
        <v>75</v>
      </c>
      <c r="B14" s="81" t="s">
        <v>116</v>
      </c>
      <c r="C14" s="81" t="s">
        <v>117</v>
      </c>
      <c r="D14" s="81" t="s">
        <v>118</v>
      </c>
      <c r="E14" s="81" t="s">
        <v>119</v>
      </c>
      <c r="F14" s="26"/>
      <c r="G14" s="26"/>
      <c r="H14" s="26"/>
      <c r="I14" s="81" t="s">
        <v>120</v>
      </c>
      <c r="J14" s="81" t="s">
        <v>121</v>
      </c>
      <c r="K14" s="81" t="s">
        <v>122</v>
      </c>
      <c r="L14" s="81" t="s">
        <v>123</v>
      </c>
      <c r="M14" s="26"/>
      <c r="N14" s="26"/>
    </row>
    <row r="15" spans="1:14" x14ac:dyDescent="0.3">
      <c r="A15" s="81" t="s">
        <v>124</v>
      </c>
      <c r="B15" s="81" t="s">
        <v>125</v>
      </c>
      <c r="C15" s="81" t="s">
        <v>126</v>
      </c>
      <c r="D15" s="81"/>
      <c r="E15" s="81" t="s">
        <v>126</v>
      </c>
      <c r="F15" s="26"/>
      <c r="G15" s="26"/>
      <c r="H15" s="26"/>
      <c r="I15" s="81" t="s">
        <v>128</v>
      </c>
      <c r="J15" s="81" t="s">
        <v>129</v>
      </c>
      <c r="K15" s="81" t="s">
        <v>130</v>
      </c>
      <c r="L15" s="83">
        <v>945000</v>
      </c>
      <c r="M15" s="26"/>
      <c r="N15" s="26"/>
    </row>
    <row r="16" spans="1:14" x14ac:dyDescent="0.3">
      <c r="A16" s="81" t="s">
        <v>131</v>
      </c>
      <c r="B16" s="81" t="s">
        <v>132</v>
      </c>
      <c r="C16" s="81" t="s">
        <v>126</v>
      </c>
      <c r="D16" s="81" t="s">
        <v>126</v>
      </c>
      <c r="E16" s="81"/>
      <c r="F16" s="26"/>
      <c r="G16" s="26"/>
      <c r="H16" s="26"/>
      <c r="I16" s="81" t="s">
        <v>133</v>
      </c>
      <c r="J16" s="81" t="s">
        <v>134</v>
      </c>
      <c r="K16" s="81" t="s">
        <v>135</v>
      </c>
      <c r="L16" s="83">
        <v>895000</v>
      </c>
      <c r="M16" s="26"/>
      <c r="N16" s="26"/>
    </row>
    <row r="17" spans="1:14" x14ac:dyDescent="0.3">
      <c r="A17" s="81" t="s">
        <v>136</v>
      </c>
      <c r="B17" s="81" t="s">
        <v>137</v>
      </c>
      <c r="C17" s="81"/>
      <c r="D17" s="81" t="s">
        <v>126</v>
      </c>
      <c r="E17" s="81" t="s">
        <v>126</v>
      </c>
      <c r="F17" s="26"/>
      <c r="G17" s="26"/>
      <c r="H17" s="26"/>
      <c r="I17" s="81" t="s">
        <v>139</v>
      </c>
      <c r="J17" s="81" t="s">
        <v>140</v>
      </c>
      <c r="K17" s="81" t="s">
        <v>130</v>
      </c>
      <c r="L17" s="83">
        <v>920000</v>
      </c>
      <c r="M17" s="26"/>
      <c r="N17" s="26"/>
    </row>
    <row r="18" spans="1:14" x14ac:dyDescent="0.3">
      <c r="A18" s="81" t="s">
        <v>141</v>
      </c>
      <c r="B18" s="81" t="s">
        <v>137</v>
      </c>
      <c r="C18" s="81" t="s">
        <v>126</v>
      </c>
      <c r="D18" s="81"/>
      <c r="E18" s="81"/>
      <c r="F18" s="26"/>
      <c r="G18" s="26"/>
      <c r="H18" s="26"/>
      <c r="I18" s="81" t="s">
        <v>142</v>
      </c>
      <c r="J18" s="81" t="s">
        <v>134</v>
      </c>
      <c r="K18" s="81" t="s">
        <v>144</v>
      </c>
      <c r="L18" s="83">
        <v>1150000</v>
      </c>
      <c r="M18" s="26"/>
      <c r="N18" s="26"/>
    </row>
    <row r="19" spans="1:14" x14ac:dyDescent="0.3">
      <c r="A19" s="81" t="s">
        <v>145</v>
      </c>
      <c r="B19" s="81" t="s">
        <v>125</v>
      </c>
      <c r="C19" s="81" t="s">
        <v>126</v>
      </c>
      <c r="D19" s="81" t="s">
        <v>126</v>
      </c>
      <c r="E19" s="81" t="s">
        <v>126</v>
      </c>
      <c r="F19" s="26"/>
      <c r="G19" s="26"/>
      <c r="H19" s="26"/>
      <c r="I19" s="81" t="s">
        <v>147</v>
      </c>
      <c r="J19" s="81" t="s">
        <v>129</v>
      </c>
      <c r="K19" s="81" t="s">
        <v>130</v>
      </c>
      <c r="L19" s="83">
        <v>980000</v>
      </c>
      <c r="M19" s="26"/>
      <c r="N19" s="26"/>
    </row>
    <row r="20" spans="1:14" x14ac:dyDescent="0.3">
      <c r="A20" s="81" t="s">
        <v>149</v>
      </c>
      <c r="B20" s="81" t="s">
        <v>132</v>
      </c>
      <c r="C20" s="81"/>
      <c r="D20" s="81" t="s">
        <v>126</v>
      </c>
      <c r="E20" s="81"/>
      <c r="F20" s="26"/>
      <c r="G20" s="26"/>
      <c r="H20" s="26"/>
      <c r="I20" s="81" t="s">
        <v>151</v>
      </c>
      <c r="J20" s="81" t="s">
        <v>134</v>
      </c>
      <c r="K20" s="81" t="s">
        <v>130</v>
      </c>
      <c r="L20" s="83">
        <v>900000</v>
      </c>
      <c r="M20" s="26"/>
      <c r="N20" s="26"/>
    </row>
    <row r="21" spans="1:14" x14ac:dyDescent="0.3">
      <c r="A21" s="81" t="s">
        <v>153</v>
      </c>
      <c r="B21" s="81" t="s">
        <v>132</v>
      </c>
      <c r="C21" s="81" t="s">
        <v>126</v>
      </c>
      <c r="D21" s="81"/>
      <c r="E21" s="81" t="s">
        <v>126</v>
      </c>
      <c r="F21" s="26"/>
      <c r="G21" s="26"/>
      <c r="H21" s="26"/>
      <c r="I21" s="81" t="s">
        <v>155</v>
      </c>
      <c r="J21" s="81" t="s">
        <v>140</v>
      </c>
      <c r="K21" s="81" t="s">
        <v>135</v>
      </c>
      <c r="L21" s="83">
        <v>885000</v>
      </c>
      <c r="M21" s="26"/>
      <c r="N21" s="26"/>
    </row>
    <row r="22" spans="1:14" x14ac:dyDescent="0.3">
      <c r="A22" s="81" t="s">
        <v>158</v>
      </c>
      <c r="B22" s="81" t="s">
        <v>137</v>
      </c>
      <c r="C22" s="81" t="s">
        <v>126</v>
      </c>
      <c r="D22" s="81"/>
      <c r="E22" s="81"/>
      <c r="F22" s="26"/>
      <c r="G22" s="26"/>
      <c r="H22" s="26"/>
      <c r="I22" s="81" t="s">
        <v>159</v>
      </c>
      <c r="J22" s="81" t="s">
        <v>134</v>
      </c>
      <c r="K22" s="81" t="s">
        <v>130</v>
      </c>
      <c r="L22" s="83">
        <v>985000</v>
      </c>
      <c r="M22" s="26"/>
      <c r="N22" s="26"/>
    </row>
    <row r="23" spans="1:14" x14ac:dyDescent="0.3">
      <c r="A23" s="81" t="s">
        <v>161</v>
      </c>
      <c r="B23" s="81" t="s">
        <v>132</v>
      </c>
      <c r="C23" s="81"/>
      <c r="D23" s="81" t="s">
        <v>126</v>
      </c>
      <c r="E23" s="81" t="s">
        <v>126</v>
      </c>
      <c r="F23" s="26"/>
      <c r="G23" s="26"/>
      <c r="H23" s="26"/>
      <c r="I23" s="81" t="s">
        <v>162</v>
      </c>
      <c r="J23" s="81" t="s">
        <v>129</v>
      </c>
      <c r="K23" s="81" t="s">
        <v>144</v>
      </c>
      <c r="L23" s="83">
        <v>1200000</v>
      </c>
      <c r="M23" s="26"/>
      <c r="N23" s="26"/>
    </row>
    <row r="24" spans="1:14" x14ac:dyDescent="0.3">
      <c r="A24" s="81" t="s">
        <v>164</v>
      </c>
      <c r="B24" s="81" t="s">
        <v>125</v>
      </c>
      <c r="C24" s="81" t="s">
        <v>126</v>
      </c>
      <c r="D24" s="81"/>
      <c r="E24" s="81" t="s">
        <v>126</v>
      </c>
      <c r="F24" s="26"/>
      <c r="G24" s="118" t="s">
        <v>116</v>
      </c>
      <c r="H24" s="26"/>
      <c r="I24" s="81" t="s">
        <v>165</v>
      </c>
      <c r="J24" s="81" t="s">
        <v>140</v>
      </c>
      <c r="K24" s="81" t="s">
        <v>144</v>
      </c>
      <c r="L24" s="83">
        <v>1100000</v>
      </c>
      <c r="M24" s="132" t="s">
        <v>166</v>
      </c>
      <c r="N24" s="132"/>
    </row>
    <row r="25" spans="1:14" x14ac:dyDescent="0.3">
      <c r="A25" s="132" t="s">
        <v>167</v>
      </c>
      <c r="B25" s="132"/>
      <c r="C25" s="132"/>
      <c r="D25" s="132"/>
      <c r="E25" s="81" t="str">
        <f>DCOUNTA(A14:E24,C14,G24:G25)&amp;"명"</f>
        <v>2명</v>
      </c>
      <c r="F25" s="26"/>
      <c r="G25" s="118" t="s">
        <v>132</v>
      </c>
      <c r="H25" s="26"/>
      <c r="I25" s="81" t="s">
        <v>168</v>
      </c>
      <c r="J25" s="81" t="s">
        <v>129</v>
      </c>
      <c r="K25" s="81" t="s">
        <v>135</v>
      </c>
      <c r="L25" s="83">
        <v>900000</v>
      </c>
      <c r="M25" s="133">
        <f>DMAX(I14:L25,L14,J14:J15)-DMIN(I14:L25,L14,J14:J15)</f>
        <v>300000</v>
      </c>
      <c r="N25" s="133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81" t="s">
        <v>173</v>
      </c>
      <c r="B28" s="81" t="s">
        <v>174</v>
      </c>
      <c r="C28" s="81" t="s">
        <v>175</v>
      </c>
      <c r="D28" s="81" t="s">
        <v>176</v>
      </c>
      <c r="E28" s="26"/>
      <c r="F28" s="26"/>
      <c r="G28" s="26"/>
      <c r="H28" s="26"/>
      <c r="I28" s="81" t="s">
        <v>177</v>
      </c>
      <c r="J28" s="81" t="s">
        <v>174</v>
      </c>
      <c r="K28" s="81" t="s">
        <v>178</v>
      </c>
      <c r="L28" s="81" t="s">
        <v>179</v>
      </c>
      <c r="M28" s="81" t="s">
        <v>180</v>
      </c>
      <c r="N28" s="81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81">
        <v>2024</v>
      </c>
      <c r="E29" s="26"/>
      <c r="F29" s="26"/>
      <c r="G29" s="26"/>
      <c r="H29" s="26"/>
      <c r="I29" s="81" t="s">
        <v>185</v>
      </c>
      <c r="J29" s="81" t="s">
        <v>183</v>
      </c>
      <c r="K29" s="81">
        <v>88</v>
      </c>
      <c r="L29" s="81">
        <v>89</v>
      </c>
      <c r="M29" s="81">
        <v>90</v>
      </c>
      <c r="N29" s="81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81">
        <v>2021</v>
      </c>
      <c r="E30" s="26"/>
      <c r="F30" s="26"/>
      <c r="G30" s="26"/>
      <c r="H30" s="26"/>
      <c r="I30" s="81" t="s">
        <v>190</v>
      </c>
      <c r="J30" s="81" t="s">
        <v>188</v>
      </c>
      <c r="K30" s="81">
        <v>79</v>
      </c>
      <c r="L30" s="81">
        <v>85</v>
      </c>
      <c r="M30" s="81">
        <v>69</v>
      </c>
      <c r="N30" s="81">
        <f t="shared" si="1"/>
        <v>233</v>
      </c>
    </row>
    <row r="31" spans="1:14" x14ac:dyDescent="0.3">
      <c r="A31" s="5" t="s">
        <v>191</v>
      </c>
      <c r="B31" s="5" t="s">
        <v>183</v>
      </c>
      <c r="C31" s="5" t="s">
        <v>189</v>
      </c>
      <c r="D31" s="81">
        <v>2021</v>
      </c>
      <c r="E31" s="26"/>
      <c r="F31" s="26"/>
      <c r="G31" s="26"/>
      <c r="H31" s="26"/>
      <c r="I31" s="81" t="s">
        <v>192</v>
      </c>
      <c r="J31" s="81" t="s">
        <v>183</v>
      </c>
      <c r="K31" s="81">
        <v>92</v>
      </c>
      <c r="L31" s="81">
        <v>90</v>
      </c>
      <c r="M31" s="81">
        <v>89</v>
      </c>
      <c r="N31" s="81">
        <f t="shared" si="1"/>
        <v>271</v>
      </c>
    </row>
    <row r="32" spans="1:14" x14ac:dyDescent="0.3">
      <c r="A32" s="5" t="s">
        <v>193</v>
      </c>
      <c r="B32" s="5" t="s">
        <v>183</v>
      </c>
      <c r="C32" s="5" t="s">
        <v>194</v>
      </c>
      <c r="D32" s="81">
        <v>2022</v>
      </c>
      <c r="E32" s="26"/>
      <c r="F32" s="26"/>
      <c r="G32" s="26"/>
      <c r="H32" s="26"/>
      <c r="I32" s="81" t="s">
        <v>195</v>
      </c>
      <c r="J32" s="81" t="s">
        <v>188</v>
      </c>
      <c r="K32" s="81">
        <v>94</v>
      </c>
      <c r="L32" s="81">
        <v>95</v>
      </c>
      <c r="M32" s="81">
        <v>89</v>
      </c>
      <c r="N32" s="81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81">
        <v>2021</v>
      </c>
      <c r="E33" s="26"/>
      <c r="F33" s="26"/>
      <c r="G33" s="26"/>
      <c r="H33" s="26"/>
      <c r="I33" s="81" t="s">
        <v>198</v>
      </c>
      <c r="J33" s="81" t="s">
        <v>188</v>
      </c>
      <c r="K33" s="81">
        <v>86</v>
      </c>
      <c r="L33" s="81">
        <v>92</v>
      </c>
      <c r="M33" s="81">
        <v>90</v>
      </c>
      <c r="N33" s="81">
        <f t="shared" si="1"/>
        <v>268</v>
      </c>
    </row>
    <row r="34" spans="1:14" x14ac:dyDescent="0.3">
      <c r="A34" s="5" t="s">
        <v>199</v>
      </c>
      <c r="B34" s="5" t="s">
        <v>188</v>
      </c>
      <c r="C34" s="5" t="s">
        <v>201</v>
      </c>
      <c r="D34" s="81">
        <v>2024</v>
      </c>
      <c r="E34" s="26"/>
      <c r="F34" s="26"/>
      <c r="G34" s="26"/>
      <c r="H34" s="26"/>
      <c r="I34" s="81" t="s">
        <v>202</v>
      </c>
      <c r="J34" s="81" t="s">
        <v>183</v>
      </c>
      <c r="K34" s="81">
        <v>90</v>
      </c>
      <c r="L34" s="81">
        <v>95</v>
      </c>
      <c r="M34" s="81">
        <v>92</v>
      </c>
      <c r="N34" s="81">
        <f t="shared" si="1"/>
        <v>277</v>
      </c>
    </row>
    <row r="35" spans="1:14" x14ac:dyDescent="0.3">
      <c r="A35" s="5" t="s">
        <v>203</v>
      </c>
      <c r="B35" s="5" t="s">
        <v>183</v>
      </c>
      <c r="C35" s="5" t="s">
        <v>204</v>
      </c>
      <c r="D35" s="81">
        <v>2021</v>
      </c>
      <c r="E35" s="26"/>
      <c r="F35" s="26"/>
      <c r="G35" s="26"/>
      <c r="H35" s="26"/>
      <c r="I35" s="81" t="s">
        <v>205</v>
      </c>
      <c r="J35" s="81" t="s">
        <v>183</v>
      </c>
      <c r="K35" s="81">
        <v>88</v>
      </c>
      <c r="L35" s="81">
        <v>84</v>
      </c>
      <c r="M35" s="81">
        <v>80</v>
      </c>
      <c r="N35" s="81">
        <f t="shared" si="1"/>
        <v>252</v>
      </c>
    </row>
    <row r="36" spans="1:14" x14ac:dyDescent="0.3">
      <c r="A36" s="5" t="s">
        <v>206</v>
      </c>
      <c r="B36" s="5" t="s">
        <v>188</v>
      </c>
      <c r="C36" s="5" t="s">
        <v>184</v>
      </c>
      <c r="D36" s="81">
        <v>2024</v>
      </c>
      <c r="E36" s="26"/>
      <c r="F36" s="26"/>
      <c r="G36" s="26"/>
      <c r="H36" s="26"/>
      <c r="I36" s="81" t="s">
        <v>207</v>
      </c>
      <c r="J36" s="81" t="s">
        <v>188</v>
      </c>
      <c r="K36" s="81">
        <v>77</v>
      </c>
      <c r="L36" s="81">
        <v>80</v>
      </c>
      <c r="M36" s="81">
        <v>79</v>
      </c>
      <c r="N36" s="81">
        <f t="shared" si="1"/>
        <v>236</v>
      </c>
    </row>
    <row r="37" spans="1:14" x14ac:dyDescent="0.3">
      <c r="A37" s="5" t="s">
        <v>208</v>
      </c>
      <c r="B37" s="5" t="s">
        <v>188</v>
      </c>
      <c r="C37" s="5" t="s">
        <v>201</v>
      </c>
      <c r="D37" s="81">
        <v>2023</v>
      </c>
      <c r="E37" s="26"/>
      <c r="F37" s="26"/>
      <c r="G37" s="26"/>
      <c r="H37" s="26"/>
      <c r="I37" s="81" t="s">
        <v>209</v>
      </c>
      <c r="J37" s="81" t="s">
        <v>188</v>
      </c>
      <c r="K37" s="81">
        <v>80</v>
      </c>
      <c r="L37" s="81">
        <v>85</v>
      </c>
      <c r="M37" s="81">
        <v>90</v>
      </c>
      <c r="N37" s="81">
        <f t="shared" si="1"/>
        <v>255</v>
      </c>
    </row>
    <row r="38" spans="1:14" x14ac:dyDescent="0.3">
      <c r="A38" s="5" t="s">
        <v>210</v>
      </c>
      <c r="B38" s="5" t="s">
        <v>183</v>
      </c>
      <c r="C38" s="5" t="s">
        <v>189</v>
      </c>
      <c r="D38" s="81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29" t="s">
        <v>212</v>
      </c>
      <c r="B39" s="130"/>
      <c r="C39" s="131"/>
      <c r="D39" s="81" t="str">
        <f>DCOUNT(A28:D38,D28,C28:C29)&amp;"명"</f>
        <v>3명</v>
      </c>
      <c r="E39" s="26"/>
      <c r="F39" s="26"/>
      <c r="G39" s="26"/>
      <c r="H39" s="26"/>
      <c r="I39" s="118" t="s">
        <v>174</v>
      </c>
      <c r="J39" s="118" t="s">
        <v>179</v>
      </c>
      <c r="K39" s="118" t="s">
        <v>180</v>
      </c>
      <c r="L39" s="129" t="s">
        <v>213</v>
      </c>
      <c r="M39" s="130"/>
      <c r="N39" s="131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118" t="s">
        <v>188</v>
      </c>
      <c r="J40" s="14" t="s">
        <v>1129</v>
      </c>
      <c r="K40" s="26"/>
      <c r="L40" s="126">
        <f>DAVERAGE(I28:N37,N28,I39:K41)</f>
        <v>272.5</v>
      </c>
      <c r="M40" s="127"/>
      <c r="N40" s="128"/>
    </row>
    <row r="41" spans="1:14" x14ac:dyDescent="0.3">
      <c r="I41" s="14" t="s">
        <v>183</v>
      </c>
      <c r="K41" t="s">
        <v>1129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 x14ac:dyDescent="0.3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 x14ac:dyDescent="0.3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 x14ac:dyDescent="0.3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 x14ac:dyDescent="0.3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 x14ac:dyDescent="0.3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 x14ac:dyDescent="0.3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 x14ac:dyDescent="0.3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1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1" t="s">
        <v>74</v>
      </c>
      <c r="N9" s="81" t="s">
        <v>76</v>
      </c>
    </row>
    <row r="10" spans="1:14" x14ac:dyDescent="0.3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1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1" t="s">
        <v>97</v>
      </c>
      <c r="N10" s="2" t="s">
        <v>1128</v>
      </c>
    </row>
    <row r="11" spans="1:14" x14ac:dyDescent="0.3">
      <c r="A11" s="129" t="s">
        <v>110</v>
      </c>
      <c r="B11" s="130"/>
      <c r="C11" s="130"/>
      <c r="D11" s="131"/>
      <c r="E11" s="30" t="str">
        <f>DSUM(A2:E10,E2,G9:G10)&amp;"매"</f>
        <v>4751매</v>
      </c>
      <c r="F11" s="26"/>
      <c r="G11" s="26"/>
      <c r="H11" s="26"/>
      <c r="I11" s="132" t="s">
        <v>111</v>
      </c>
      <c r="J11" s="132"/>
      <c r="K11" s="132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 x14ac:dyDescent="0.3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 x14ac:dyDescent="0.3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 x14ac:dyDescent="0.3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 x14ac:dyDescent="0.3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 x14ac:dyDescent="0.3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 x14ac:dyDescent="0.3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 x14ac:dyDescent="0.3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 x14ac:dyDescent="0.3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 x14ac:dyDescent="0.3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 x14ac:dyDescent="0.3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1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32" t="s">
        <v>166</v>
      </c>
      <c r="N24" s="132"/>
    </row>
    <row r="25" spans="1:14" x14ac:dyDescent="0.3">
      <c r="A25" s="132" t="s">
        <v>167</v>
      </c>
      <c r="B25" s="132"/>
      <c r="C25" s="132"/>
      <c r="D25" s="132"/>
      <c r="E25" s="2" t="str">
        <f>DCOUNTA(A14:E24,3,G24:G25)&amp;"명"</f>
        <v>2명</v>
      </c>
      <c r="F25" s="26"/>
      <c r="G25" s="81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33">
        <f>DMAX(I14:L25,L14,J14:J15)-DMIN(I14:L25,L14,J14:J15)</f>
        <v>300000</v>
      </c>
      <c r="N25" s="133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 x14ac:dyDescent="0.3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 x14ac:dyDescent="0.3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 x14ac:dyDescent="0.3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 x14ac:dyDescent="0.3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 x14ac:dyDescent="0.3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 x14ac:dyDescent="0.3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 x14ac:dyDescent="0.3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29" t="s">
        <v>212</v>
      </c>
      <c r="B39" s="130"/>
      <c r="C39" s="131"/>
      <c r="D39" s="2" t="str">
        <f>DCOUNT(A28:D38,4,C28:C29)&amp;"명"</f>
        <v>3명</v>
      </c>
      <c r="E39" s="26"/>
      <c r="F39" s="26"/>
      <c r="G39" s="26"/>
      <c r="H39" s="26"/>
      <c r="I39" s="81" t="s">
        <v>174</v>
      </c>
      <c r="J39" s="81" t="s">
        <v>179</v>
      </c>
      <c r="K39" s="81" t="s">
        <v>180</v>
      </c>
      <c r="L39" s="129" t="s">
        <v>213</v>
      </c>
      <c r="M39" s="130"/>
      <c r="N39" s="131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81" t="s">
        <v>188</v>
      </c>
      <c r="J40" s="14" t="s">
        <v>1129</v>
      </c>
      <c r="K40" s="26"/>
      <c r="L40" s="126">
        <f>DAVERAGE(I28:N37,6,I39:K41)</f>
        <v>272.5</v>
      </c>
      <c r="M40" s="127"/>
      <c r="N40" s="128"/>
    </row>
    <row r="41" spans="1:14" x14ac:dyDescent="0.3">
      <c r="I41" s="81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7"/>
  <sheetViews>
    <sheetView topLeftCell="E15" zoomScale="175" zoomScaleNormal="175" workbookViewId="0">
      <selection activeCell="L25" sqref="L25:N25"/>
    </sheetView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87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81" t="s">
        <v>1131</v>
      </c>
      <c r="B2" s="81" t="s">
        <v>1132</v>
      </c>
      <c r="C2" s="81" t="s">
        <v>1133</v>
      </c>
      <c r="D2" s="81" t="s">
        <v>1134</v>
      </c>
      <c r="E2" s="86" t="s">
        <v>1135</v>
      </c>
      <c r="F2" s="7"/>
      <c r="G2" s="81" t="s">
        <v>69</v>
      </c>
      <c r="H2" s="81" t="s">
        <v>221</v>
      </c>
      <c r="I2" s="81" t="s">
        <v>123</v>
      </c>
      <c r="J2" s="81" t="s">
        <v>76</v>
      </c>
      <c r="K2" s="81" t="s">
        <v>77</v>
      </c>
      <c r="L2" s="7"/>
      <c r="M2" s="7"/>
      <c r="N2" s="7"/>
    </row>
    <row r="3" spans="1:14" x14ac:dyDescent="0.3">
      <c r="A3" s="81" t="s">
        <v>1136</v>
      </c>
      <c r="B3" s="81" t="s">
        <v>1137</v>
      </c>
      <c r="C3" s="103">
        <v>5</v>
      </c>
      <c r="D3" s="103">
        <v>25</v>
      </c>
      <c r="E3" s="38" t="str">
        <f ca="1">RANDBETWEEN(C3,D3)&amp;"층"</f>
        <v>16층</v>
      </c>
      <c r="F3" s="7"/>
      <c r="G3" s="81" t="s">
        <v>225</v>
      </c>
      <c r="H3" s="81" t="s">
        <v>226</v>
      </c>
      <c r="I3" s="83">
        <v>2800</v>
      </c>
      <c r="J3" s="83">
        <v>62</v>
      </c>
      <c r="K3" s="83">
        <f>I3*J3</f>
        <v>173600</v>
      </c>
      <c r="L3" s="7"/>
      <c r="M3" s="7"/>
      <c r="N3" s="7"/>
    </row>
    <row r="4" spans="1:14" x14ac:dyDescent="0.3">
      <c r="A4" s="81" t="s">
        <v>1136</v>
      </c>
      <c r="B4" s="81" t="s">
        <v>1138</v>
      </c>
      <c r="C4" s="103">
        <v>5</v>
      </c>
      <c r="D4" s="103">
        <v>25</v>
      </c>
      <c r="E4" s="38" t="str">
        <f t="shared" ref="E4:E12" ca="1" si="0">RANDBETWEEN(C4,D4)&amp;"층"</f>
        <v>12층</v>
      </c>
      <c r="F4" s="7"/>
      <c r="G4" s="81" t="s">
        <v>228</v>
      </c>
      <c r="H4" s="81" t="s">
        <v>229</v>
      </c>
      <c r="I4" s="83">
        <v>15600</v>
      </c>
      <c r="J4" s="83">
        <v>28</v>
      </c>
      <c r="K4" s="83">
        <f t="shared" ref="K4:K11" si="1">I4*J4</f>
        <v>436800</v>
      </c>
      <c r="L4" s="7"/>
      <c r="M4" s="7"/>
      <c r="N4" s="7"/>
    </row>
    <row r="5" spans="1:14" x14ac:dyDescent="0.3">
      <c r="A5" s="81" t="s">
        <v>1136</v>
      </c>
      <c r="B5" s="81" t="s">
        <v>1139</v>
      </c>
      <c r="C5" s="103">
        <v>5</v>
      </c>
      <c r="D5" s="103">
        <v>25</v>
      </c>
      <c r="E5" s="38" t="str">
        <f t="shared" ca="1" si="0"/>
        <v>20층</v>
      </c>
      <c r="F5" s="7"/>
      <c r="G5" s="81" t="s">
        <v>230</v>
      </c>
      <c r="H5" s="81" t="s">
        <v>231</v>
      </c>
      <c r="I5" s="83">
        <v>4500</v>
      </c>
      <c r="J5" s="83">
        <v>57</v>
      </c>
      <c r="K5" s="83">
        <f t="shared" si="1"/>
        <v>256500</v>
      </c>
      <c r="L5" s="7"/>
      <c r="M5" s="7"/>
      <c r="N5" s="7"/>
    </row>
    <row r="6" spans="1:14" x14ac:dyDescent="0.3">
      <c r="A6" s="81" t="s">
        <v>1136</v>
      </c>
      <c r="B6" s="81" t="s">
        <v>1140</v>
      </c>
      <c r="C6" s="103">
        <v>5</v>
      </c>
      <c r="D6" s="103">
        <v>25</v>
      </c>
      <c r="E6" s="38" t="str">
        <f t="shared" ca="1" si="0"/>
        <v>20층</v>
      </c>
      <c r="F6" s="7"/>
      <c r="G6" s="81" t="s">
        <v>228</v>
      </c>
      <c r="H6" s="81" t="s">
        <v>234</v>
      </c>
      <c r="I6" s="83">
        <v>5600</v>
      </c>
      <c r="J6" s="83">
        <v>65</v>
      </c>
      <c r="K6" s="83">
        <f t="shared" si="1"/>
        <v>364000</v>
      </c>
      <c r="L6" s="7"/>
      <c r="M6" s="7"/>
      <c r="N6" s="7"/>
    </row>
    <row r="7" spans="1:14" x14ac:dyDescent="0.3">
      <c r="A7" s="81" t="s">
        <v>1136</v>
      </c>
      <c r="B7" s="81" t="s">
        <v>1141</v>
      </c>
      <c r="C7" s="103">
        <v>5</v>
      </c>
      <c r="D7" s="103">
        <v>25</v>
      </c>
      <c r="E7" s="38" t="str">
        <f t="shared" ca="1" si="0"/>
        <v>16층</v>
      </c>
      <c r="F7" s="7"/>
      <c r="G7" s="81" t="s">
        <v>225</v>
      </c>
      <c r="H7" s="81" t="s">
        <v>235</v>
      </c>
      <c r="I7" s="83">
        <v>6500</v>
      </c>
      <c r="J7" s="83">
        <v>48</v>
      </c>
      <c r="K7" s="83">
        <f t="shared" si="1"/>
        <v>312000</v>
      </c>
      <c r="L7" s="7"/>
      <c r="M7" s="7"/>
      <c r="N7" s="7"/>
    </row>
    <row r="8" spans="1:14" x14ac:dyDescent="0.3">
      <c r="A8" s="81" t="s">
        <v>1142</v>
      </c>
      <c r="B8" s="81" t="s">
        <v>1143</v>
      </c>
      <c r="C8" s="103">
        <v>1</v>
      </c>
      <c r="D8" s="103">
        <v>25</v>
      </c>
      <c r="E8" s="38" t="str">
        <f t="shared" ca="1" si="0"/>
        <v>21층</v>
      </c>
      <c r="F8" s="7"/>
      <c r="G8" s="81" t="s">
        <v>230</v>
      </c>
      <c r="H8" s="81" t="s">
        <v>237</v>
      </c>
      <c r="I8" s="83">
        <v>12500</v>
      </c>
      <c r="J8" s="83">
        <v>65</v>
      </c>
      <c r="K8" s="83">
        <f t="shared" si="1"/>
        <v>812500</v>
      </c>
      <c r="L8" s="7"/>
      <c r="M8" s="7"/>
      <c r="N8" s="7"/>
    </row>
    <row r="9" spans="1:14" x14ac:dyDescent="0.3">
      <c r="A9" s="81" t="s">
        <v>1142</v>
      </c>
      <c r="B9" s="81" t="s">
        <v>1144</v>
      </c>
      <c r="C9" s="103">
        <v>1</v>
      </c>
      <c r="D9" s="103">
        <v>25</v>
      </c>
      <c r="E9" s="38" t="str">
        <f t="shared" ca="1" si="0"/>
        <v>12층</v>
      </c>
      <c r="F9" s="7"/>
      <c r="G9" s="81" t="s">
        <v>228</v>
      </c>
      <c r="H9" s="81" t="s">
        <v>239</v>
      </c>
      <c r="I9" s="83">
        <v>8300</v>
      </c>
      <c r="J9" s="83">
        <v>27</v>
      </c>
      <c r="K9" s="83">
        <f t="shared" si="1"/>
        <v>224100</v>
      </c>
      <c r="L9" s="7"/>
      <c r="M9" s="7"/>
      <c r="N9" s="7"/>
    </row>
    <row r="10" spans="1:14" x14ac:dyDescent="0.3">
      <c r="A10" s="81" t="s">
        <v>1142</v>
      </c>
      <c r="B10" s="81" t="s">
        <v>1145</v>
      </c>
      <c r="C10" s="103">
        <v>1</v>
      </c>
      <c r="D10" s="103">
        <v>25</v>
      </c>
      <c r="E10" s="38" t="str">
        <f t="shared" ca="1" si="0"/>
        <v>4층</v>
      </c>
      <c r="F10" s="7"/>
      <c r="G10" s="81" t="s">
        <v>230</v>
      </c>
      <c r="H10" s="81" t="s">
        <v>241</v>
      </c>
      <c r="I10" s="83">
        <v>7200</v>
      </c>
      <c r="J10" s="83">
        <v>65</v>
      </c>
      <c r="K10" s="83">
        <f t="shared" si="1"/>
        <v>468000</v>
      </c>
      <c r="L10" s="7"/>
      <c r="M10" s="7"/>
      <c r="N10" s="7"/>
    </row>
    <row r="11" spans="1:14" x14ac:dyDescent="0.3">
      <c r="A11" s="81" t="s">
        <v>1142</v>
      </c>
      <c r="B11" s="81" t="s">
        <v>1146</v>
      </c>
      <c r="C11" s="103">
        <v>1</v>
      </c>
      <c r="D11" s="103">
        <v>25</v>
      </c>
      <c r="E11" s="38" t="str">
        <f ca="1">RANDBETWEEN(C11,D11)&amp;"층"</f>
        <v>24층</v>
      </c>
      <c r="F11" s="7"/>
      <c r="G11" s="81" t="s">
        <v>225</v>
      </c>
      <c r="H11" s="81" t="s">
        <v>243</v>
      </c>
      <c r="I11" s="83">
        <v>6300</v>
      </c>
      <c r="J11" s="83">
        <v>45</v>
      </c>
      <c r="K11" s="83">
        <f t="shared" si="1"/>
        <v>283500</v>
      </c>
      <c r="L11" s="7"/>
      <c r="M11" s="7"/>
      <c r="N11" s="7"/>
    </row>
    <row r="12" spans="1:14" x14ac:dyDescent="0.3">
      <c r="A12" s="81" t="s">
        <v>1142</v>
      </c>
      <c r="B12" s="81" t="s">
        <v>1147</v>
      </c>
      <c r="C12" s="103">
        <v>1</v>
      </c>
      <c r="D12" s="103">
        <v>25</v>
      </c>
      <c r="E12" s="38" t="str">
        <f t="shared" ca="1" si="0"/>
        <v>10층</v>
      </c>
      <c r="F12" s="7"/>
      <c r="G12" s="132" t="s">
        <v>245</v>
      </c>
      <c r="H12" s="132"/>
      <c r="I12" s="132"/>
      <c r="J12" s="132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81" t="s">
        <v>250</v>
      </c>
      <c r="B15" s="81" t="s">
        <v>174</v>
      </c>
      <c r="C15" s="81" t="s">
        <v>252</v>
      </c>
      <c r="D15" s="81" t="s">
        <v>253</v>
      </c>
      <c r="E15" s="81" t="s">
        <v>254</v>
      </c>
      <c r="F15" s="7"/>
      <c r="G15" s="81" t="s">
        <v>255</v>
      </c>
      <c r="H15" s="81" t="s">
        <v>256</v>
      </c>
      <c r="I15" s="81" t="s">
        <v>257</v>
      </c>
      <c r="J15" s="81" t="s">
        <v>258</v>
      </c>
      <c r="K15" s="81" t="s">
        <v>259</v>
      </c>
      <c r="L15" s="7"/>
      <c r="M15" s="7"/>
      <c r="N15" s="7"/>
    </row>
    <row r="16" spans="1:14" x14ac:dyDescent="0.3">
      <c r="A16" s="81" t="s">
        <v>260</v>
      </c>
      <c r="B16" s="81" t="s">
        <v>188</v>
      </c>
      <c r="C16" s="81" t="s">
        <v>262</v>
      </c>
      <c r="D16" s="33">
        <v>4</v>
      </c>
      <c r="E16" s="33">
        <v>1208000</v>
      </c>
      <c r="F16" s="7"/>
      <c r="G16" s="81" t="s">
        <v>263</v>
      </c>
      <c r="H16" s="81" t="s">
        <v>264</v>
      </c>
      <c r="I16" s="81" t="s">
        <v>265</v>
      </c>
      <c r="J16" s="83">
        <v>414603</v>
      </c>
      <c r="K16" s="83">
        <v>39139</v>
      </c>
      <c r="L16" s="7"/>
      <c r="M16" s="7"/>
      <c r="N16" s="7"/>
    </row>
    <row r="17" spans="1:14" x14ac:dyDescent="0.3">
      <c r="A17" s="81" t="s">
        <v>266</v>
      </c>
      <c r="B17" s="81" t="s">
        <v>183</v>
      </c>
      <c r="C17" s="81" t="s">
        <v>268</v>
      </c>
      <c r="D17" s="33">
        <v>9</v>
      </c>
      <c r="E17" s="33">
        <v>2214000</v>
      </c>
      <c r="F17" s="7"/>
      <c r="G17" s="81" t="s">
        <v>269</v>
      </c>
      <c r="H17" s="81" t="s">
        <v>270</v>
      </c>
      <c r="I17" s="81" t="s">
        <v>271</v>
      </c>
      <c r="J17" s="83">
        <v>529541</v>
      </c>
      <c r="K17" s="83">
        <v>28880</v>
      </c>
      <c r="L17" s="7"/>
      <c r="M17" s="7"/>
      <c r="N17" s="7"/>
    </row>
    <row r="18" spans="1:14" x14ac:dyDescent="0.3">
      <c r="A18" s="81" t="s">
        <v>272</v>
      </c>
      <c r="B18" s="81" t="s">
        <v>188</v>
      </c>
      <c r="C18" s="81" t="s">
        <v>262</v>
      </c>
      <c r="D18" s="33">
        <v>5</v>
      </c>
      <c r="E18" s="33">
        <v>1425000</v>
      </c>
      <c r="F18" s="7"/>
      <c r="G18" s="81" t="s">
        <v>274</v>
      </c>
      <c r="H18" s="81" t="s">
        <v>275</v>
      </c>
      <c r="I18" s="81" t="s">
        <v>276</v>
      </c>
      <c r="J18" s="83">
        <v>3144537</v>
      </c>
      <c r="K18" s="83">
        <v>27171</v>
      </c>
      <c r="L18" s="7"/>
      <c r="M18" s="7"/>
      <c r="N18" s="7"/>
    </row>
    <row r="19" spans="1:14" x14ac:dyDescent="0.3">
      <c r="A19" s="81" t="s">
        <v>277</v>
      </c>
      <c r="B19" s="81" t="s">
        <v>183</v>
      </c>
      <c r="C19" s="81" t="s">
        <v>262</v>
      </c>
      <c r="D19" s="33">
        <v>1</v>
      </c>
      <c r="E19" s="33">
        <v>265000</v>
      </c>
      <c r="F19" s="7"/>
      <c r="G19" s="81" t="s">
        <v>279</v>
      </c>
      <c r="H19" s="81" t="s">
        <v>280</v>
      </c>
      <c r="I19" s="81" t="s">
        <v>276</v>
      </c>
      <c r="J19" s="83">
        <v>1363686</v>
      </c>
      <c r="K19" s="83">
        <v>19120</v>
      </c>
      <c r="L19" s="7"/>
      <c r="M19" s="7"/>
      <c r="N19" s="7"/>
    </row>
    <row r="20" spans="1:14" x14ac:dyDescent="0.3">
      <c r="A20" s="81" t="s">
        <v>281</v>
      </c>
      <c r="B20" s="81" t="s">
        <v>188</v>
      </c>
      <c r="C20" s="81" t="s">
        <v>282</v>
      </c>
      <c r="D20" s="33">
        <v>4</v>
      </c>
      <c r="E20" s="33">
        <v>1168000</v>
      </c>
      <c r="F20" s="7"/>
      <c r="G20" s="81" t="s">
        <v>283</v>
      </c>
      <c r="H20" s="81" t="s">
        <v>284</v>
      </c>
      <c r="I20" s="81" t="s">
        <v>271</v>
      </c>
      <c r="J20" s="83">
        <v>328043</v>
      </c>
      <c r="K20" s="83">
        <v>9255</v>
      </c>
      <c r="L20" s="7"/>
      <c r="M20" s="7"/>
      <c r="N20" s="7"/>
    </row>
    <row r="21" spans="1:14" x14ac:dyDescent="0.3">
      <c r="A21" s="81" t="s">
        <v>286</v>
      </c>
      <c r="B21" s="81" t="s">
        <v>183</v>
      </c>
      <c r="C21" s="81" t="s">
        <v>268</v>
      </c>
      <c r="D21" s="33">
        <v>5</v>
      </c>
      <c r="E21" s="33">
        <v>1500000</v>
      </c>
      <c r="F21" s="7"/>
      <c r="G21" s="81" t="s">
        <v>288</v>
      </c>
      <c r="H21" s="81" t="s">
        <v>289</v>
      </c>
      <c r="I21" s="81" t="s">
        <v>271</v>
      </c>
      <c r="J21" s="83">
        <v>5656789</v>
      </c>
      <c r="K21" s="83">
        <v>6842</v>
      </c>
      <c r="L21" s="7"/>
      <c r="M21" s="7"/>
      <c r="N21" s="7"/>
    </row>
    <row r="22" spans="1:14" x14ac:dyDescent="0.3">
      <c r="A22" s="81" t="s">
        <v>290</v>
      </c>
      <c r="B22" s="81" t="s">
        <v>183</v>
      </c>
      <c r="C22" s="81" t="s">
        <v>268</v>
      </c>
      <c r="D22" s="33">
        <v>9</v>
      </c>
      <c r="E22" s="33">
        <v>2493000</v>
      </c>
      <c r="F22" s="7"/>
      <c r="G22" s="81" t="s">
        <v>291</v>
      </c>
      <c r="H22" s="81" t="s">
        <v>264</v>
      </c>
      <c r="I22" s="81" t="s">
        <v>276</v>
      </c>
      <c r="J22" s="83">
        <v>1578</v>
      </c>
      <c r="K22" s="83">
        <v>128</v>
      </c>
      <c r="L22" s="7"/>
      <c r="M22" s="7"/>
      <c r="N22" s="7"/>
    </row>
    <row r="23" spans="1:14" x14ac:dyDescent="0.3">
      <c r="A23" s="81" t="s">
        <v>293</v>
      </c>
      <c r="B23" s="81" t="s">
        <v>188</v>
      </c>
      <c r="C23" s="81" t="s">
        <v>268</v>
      </c>
      <c r="D23" s="33">
        <v>4</v>
      </c>
      <c r="E23" s="33">
        <v>1020000</v>
      </c>
      <c r="F23" s="7"/>
      <c r="G23" s="81" t="s">
        <v>294</v>
      </c>
      <c r="H23" s="81" t="s">
        <v>270</v>
      </c>
      <c r="I23" s="81" t="s">
        <v>265</v>
      </c>
      <c r="J23" s="83">
        <v>298095</v>
      </c>
      <c r="K23" s="83">
        <v>1842</v>
      </c>
      <c r="L23" s="7"/>
      <c r="M23" s="7"/>
      <c r="N23" s="7"/>
    </row>
    <row r="24" spans="1:14" x14ac:dyDescent="0.3">
      <c r="A24" s="81" t="s">
        <v>297</v>
      </c>
      <c r="B24" s="81" t="s">
        <v>183</v>
      </c>
      <c r="C24" s="81" t="s">
        <v>282</v>
      </c>
      <c r="D24" s="33">
        <v>7</v>
      </c>
      <c r="E24" s="33">
        <v>1967000</v>
      </c>
      <c r="F24" s="7"/>
      <c r="G24" s="81" t="s">
        <v>298</v>
      </c>
      <c r="H24" s="81" t="s">
        <v>264</v>
      </c>
      <c r="I24" s="81" t="s">
        <v>276</v>
      </c>
      <c r="J24" s="83">
        <v>983</v>
      </c>
      <c r="K24" s="83">
        <v>151</v>
      </c>
      <c r="L24" s="129" t="s">
        <v>300</v>
      </c>
      <c r="M24" s="130"/>
      <c r="N24" s="131"/>
    </row>
    <row r="25" spans="1:14" x14ac:dyDescent="0.3">
      <c r="A25" s="129" t="s">
        <v>301</v>
      </c>
      <c r="B25" s="130"/>
      <c r="C25" s="130"/>
      <c r="D25" s="131"/>
      <c r="E25" s="33">
        <f>SUMIF(D16:D24,_xlfn.MODE.SNGL(D16:D24),E16:E24)</f>
        <v>3396000</v>
      </c>
      <c r="F25" s="7"/>
      <c r="G25" s="81" t="s">
        <v>302</v>
      </c>
      <c r="H25" s="81" t="s">
        <v>264</v>
      </c>
      <c r="I25" s="81" t="s">
        <v>276</v>
      </c>
      <c r="J25" s="83">
        <v>36253</v>
      </c>
      <c r="K25" s="83">
        <v>1029</v>
      </c>
      <c r="L25" s="124" t="str">
        <f>SUMIFS(K16:K25,H16:H25,"드라마",I16:I25,"15세이상")&amp;"만원"</f>
        <v>1308만원</v>
      </c>
      <c r="M25" s="134"/>
      <c r="N25" s="125"/>
    </row>
    <row r="26" spans="1:14" x14ac:dyDescent="0.3">
      <c r="E26" s="32">
        <f>_xlfn.MODE.SNGL(D16:D24)</f>
        <v>4</v>
      </c>
    </row>
    <row r="27" spans="1:14" x14ac:dyDescent="0.3">
      <c r="E27" s="32">
        <f>SUMIF(D16:D24,4,E16:E24)</f>
        <v>3396000</v>
      </c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103" t="s">
        <v>1131</v>
      </c>
      <c r="B2" s="103" t="s">
        <v>1149</v>
      </c>
      <c r="C2" s="103" t="s">
        <v>1133</v>
      </c>
      <c r="D2" s="103" t="s">
        <v>1134</v>
      </c>
      <c r="E2" s="104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 x14ac:dyDescent="0.3">
      <c r="A3" s="103" t="s">
        <v>1136</v>
      </c>
      <c r="B3" s="103" t="s">
        <v>1137</v>
      </c>
      <c r="C3" s="103">
        <v>5</v>
      </c>
      <c r="D3" s="103">
        <v>25</v>
      </c>
      <c r="E3" s="38" t="str">
        <f t="shared" ref="E3:E11" ca="1" si="0">RANDBETWEEN(C3,D3)&amp;"층"</f>
        <v>21층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 x14ac:dyDescent="0.3">
      <c r="A4" s="103" t="s">
        <v>1136</v>
      </c>
      <c r="B4" s="103" t="s">
        <v>1138</v>
      </c>
      <c r="C4" s="103">
        <v>5</v>
      </c>
      <c r="D4" s="103">
        <v>25</v>
      </c>
      <c r="E4" s="38" t="str">
        <f t="shared" ca="1" si="0"/>
        <v>5층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 x14ac:dyDescent="0.3">
      <c r="A5" s="103" t="s">
        <v>1136</v>
      </c>
      <c r="B5" s="103" t="s">
        <v>1139</v>
      </c>
      <c r="C5" s="103">
        <v>5</v>
      </c>
      <c r="D5" s="103">
        <v>25</v>
      </c>
      <c r="E5" s="38" t="str">
        <f t="shared" ca="1" si="0"/>
        <v>9층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 x14ac:dyDescent="0.3">
      <c r="A6" s="103" t="s">
        <v>1136</v>
      </c>
      <c r="B6" s="103" t="s">
        <v>1140</v>
      </c>
      <c r="C6" s="103">
        <v>5</v>
      </c>
      <c r="D6" s="103">
        <v>25</v>
      </c>
      <c r="E6" s="38" t="str">
        <f t="shared" ca="1" si="0"/>
        <v>8층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 x14ac:dyDescent="0.3">
      <c r="A7" s="103" t="s">
        <v>1136</v>
      </c>
      <c r="B7" s="103" t="s">
        <v>1141</v>
      </c>
      <c r="C7" s="103">
        <v>5</v>
      </c>
      <c r="D7" s="103">
        <v>25</v>
      </c>
      <c r="E7" s="38" t="str">
        <f t="shared" ca="1" si="0"/>
        <v>20층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 x14ac:dyDescent="0.3">
      <c r="A8" s="103" t="s">
        <v>1142</v>
      </c>
      <c r="B8" s="103" t="s">
        <v>1143</v>
      </c>
      <c r="C8" s="103">
        <v>1</v>
      </c>
      <c r="D8" s="103">
        <v>25</v>
      </c>
      <c r="E8" s="38" t="str">
        <f t="shared" ca="1" si="0"/>
        <v>4층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 x14ac:dyDescent="0.3">
      <c r="A9" s="103" t="s">
        <v>1142</v>
      </c>
      <c r="B9" s="103" t="s">
        <v>1144</v>
      </c>
      <c r="C9" s="103">
        <v>1</v>
      </c>
      <c r="D9" s="103">
        <v>25</v>
      </c>
      <c r="E9" s="38" t="str">
        <f t="shared" ca="1" si="0"/>
        <v>2층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 x14ac:dyDescent="0.3">
      <c r="A10" s="103" t="s">
        <v>1142</v>
      </c>
      <c r="B10" s="103" t="s">
        <v>1145</v>
      </c>
      <c r="C10" s="103">
        <v>1</v>
      </c>
      <c r="D10" s="103">
        <v>25</v>
      </c>
      <c r="E10" s="38" t="str">
        <f t="shared" ca="1" si="0"/>
        <v>7층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 x14ac:dyDescent="0.3">
      <c r="A11" s="103" t="s">
        <v>1142</v>
      </c>
      <c r="B11" s="103" t="s">
        <v>1146</v>
      </c>
      <c r="C11" s="103">
        <v>1</v>
      </c>
      <c r="D11" s="103">
        <v>25</v>
      </c>
      <c r="E11" s="38" t="str">
        <f t="shared" ca="1" si="0"/>
        <v>22층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 x14ac:dyDescent="0.3">
      <c r="A12" s="103" t="s">
        <v>1142</v>
      </c>
      <c r="B12" s="103" t="s">
        <v>1147</v>
      </c>
      <c r="C12" s="103">
        <v>1</v>
      </c>
      <c r="D12" s="103">
        <v>25</v>
      </c>
      <c r="E12" s="38" t="str">
        <f t="shared" ref="E12" ca="1" si="2">RANDBETWEEN(C12,D12)&amp;"층"</f>
        <v>12층</v>
      </c>
      <c r="F12" s="7"/>
      <c r="G12" s="132" t="s">
        <v>245</v>
      </c>
      <c r="H12" s="132"/>
      <c r="I12" s="132"/>
      <c r="J12" s="132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 x14ac:dyDescent="0.3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 x14ac:dyDescent="0.3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 x14ac:dyDescent="0.3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 x14ac:dyDescent="0.3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 x14ac:dyDescent="0.3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 x14ac:dyDescent="0.3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 x14ac:dyDescent="0.3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 x14ac:dyDescent="0.3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 x14ac:dyDescent="0.3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29" t="s">
        <v>300</v>
      </c>
      <c r="M24" s="130"/>
      <c r="N24" s="131"/>
    </row>
    <row r="25" spans="1:14" x14ac:dyDescent="0.3">
      <c r="A25" s="129" t="s">
        <v>301</v>
      </c>
      <c r="B25" s="130"/>
      <c r="C25" s="130"/>
      <c r="D25" s="131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24" t="str">
        <f>SUMIFS(K16:K25,H16:H25,"드라마",I16:I25,"15세이상")&amp;"만원"</f>
        <v>1308만원</v>
      </c>
      <c r="M25" s="134"/>
      <c r="N25" s="125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20"/>
  <sheetViews>
    <sheetView topLeftCell="A7" zoomScale="145" zoomScaleNormal="145" workbookViewId="0">
      <selection activeCell="L14" sqref="L14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  <col min="11" max="11" width="7.375" customWidth="1"/>
    <col min="13" max="13" width="16.75" customWidth="1"/>
  </cols>
  <sheetData>
    <row r="1" spans="1:14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4" x14ac:dyDescent="0.3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6" t="s">
        <v>311</v>
      </c>
    </row>
    <row r="3" spans="1:14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120" t="str">
        <f>INT(H3/I3)&amp;"("&amp;MOD(H3,I3)&amp;")"</f>
        <v>13(4)</v>
      </c>
      <c r="K3" s="121">
        <f>INT(H3/I3)</f>
        <v>13</v>
      </c>
      <c r="L3">
        <f>MOD(H3,I3)</f>
        <v>4</v>
      </c>
      <c r="M3" t="str">
        <f>K3&amp;"("&amp;L3&amp;")"</f>
        <v>13(4)</v>
      </c>
      <c r="N3" t="s">
        <v>1161</v>
      </c>
    </row>
    <row r="4" spans="1:14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120" t="str">
        <f t="shared" ref="J4:J11" si="0">INT(H4/I4)&amp;"("&amp;MOD(H4,I4)&amp;")"</f>
        <v>12(34)</v>
      </c>
    </row>
    <row r="5" spans="1:14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120" t="str">
        <f t="shared" si="0"/>
        <v>11(16)</v>
      </c>
    </row>
    <row r="6" spans="1:14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120" t="str">
        <f t="shared" si="0"/>
        <v>12(18)</v>
      </c>
    </row>
    <row r="7" spans="1:14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120" t="str">
        <f t="shared" si="0"/>
        <v>13(30)</v>
      </c>
    </row>
    <row r="8" spans="1:14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120" t="str">
        <f t="shared" si="0"/>
        <v>14(17)</v>
      </c>
    </row>
    <row r="9" spans="1:14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120" t="str">
        <f t="shared" si="0"/>
        <v>14(37)</v>
      </c>
    </row>
    <row r="10" spans="1:14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120" t="str">
        <f t="shared" si="0"/>
        <v>13(20)</v>
      </c>
    </row>
    <row r="11" spans="1:14" x14ac:dyDescent="0.3">
      <c r="A11" s="132" t="s">
        <v>332</v>
      </c>
      <c r="B11" s="132"/>
      <c r="C11" s="132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120" t="str">
        <f t="shared" si="0"/>
        <v>17(25)</v>
      </c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4" x14ac:dyDescent="0.3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4" x14ac:dyDescent="0.3">
      <c r="A14" s="81" t="s">
        <v>338</v>
      </c>
      <c r="B14" s="81" t="s">
        <v>339</v>
      </c>
      <c r="C14" s="81" t="s">
        <v>340</v>
      </c>
      <c r="D14" s="81" t="s">
        <v>341</v>
      </c>
      <c r="E14" s="86" t="s">
        <v>342</v>
      </c>
      <c r="F14" s="26"/>
      <c r="G14" s="81" t="s">
        <v>343</v>
      </c>
      <c r="H14" s="81" t="s">
        <v>344</v>
      </c>
      <c r="I14" s="81" t="s">
        <v>345</v>
      </c>
      <c r="J14" s="86" t="s">
        <v>346</v>
      </c>
    </row>
    <row r="15" spans="1:14" x14ac:dyDescent="0.3">
      <c r="A15" s="81" t="s">
        <v>58</v>
      </c>
      <c r="B15" s="81" t="s">
        <v>347</v>
      </c>
      <c r="C15" s="40">
        <v>35000</v>
      </c>
      <c r="D15" s="40">
        <v>150000</v>
      </c>
      <c r="E15" s="40">
        <f>ROUNDDOWN(SUM(C15:D15),-4)</f>
        <v>180000</v>
      </c>
      <c r="F15" s="26"/>
      <c r="G15" s="81">
        <v>14001</v>
      </c>
      <c r="H15" s="81">
        <v>94</v>
      </c>
      <c r="I15" s="81">
        <v>92</v>
      </c>
      <c r="J15" s="81">
        <f>ABS(H15-I15)</f>
        <v>2</v>
      </c>
    </row>
    <row r="16" spans="1:14" x14ac:dyDescent="0.3">
      <c r="A16" s="81" t="s">
        <v>348</v>
      </c>
      <c r="B16" s="81" t="s">
        <v>349</v>
      </c>
      <c r="C16" s="40">
        <v>32000</v>
      </c>
      <c r="D16" s="40">
        <v>170000</v>
      </c>
      <c r="E16" s="40">
        <f t="shared" ref="E16:E20" si="1">ROUNDDOWN(SUM(C16:D16),-4)</f>
        <v>200000</v>
      </c>
      <c r="F16" s="26"/>
      <c r="G16" s="81">
        <v>14002</v>
      </c>
      <c r="H16" s="81">
        <v>81</v>
      </c>
      <c r="I16" s="81">
        <v>76</v>
      </c>
      <c r="J16" s="118">
        <f t="shared" ref="J16:J20" si="2">ABS(H16-I16)</f>
        <v>5</v>
      </c>
    </row>
    <row r="17" spans="1:10" x14ac:dyDescent="0.3">
      <c r="A17" s="81" t="s">
        <v>350</v>
      </c>
      <c r="B17" s="81" t="s">
        <v>351</v>
      </c>
      <c r="C17" s="40">
        <v>39000</v>
      </c>
      <c r="D17" s="40">
        <v>120000</v>
      </c>
      <c r="E17" s="40">
        <f t="shared" si="1"/>
        <v>150000</v>
      </c>
      <c r="F17" s="26"/>
      <c r="G17" s="81">
        <v>14003</v>
      </c>
      <c r="H17" s="81">
        <v>82</v>
      </c>
      <c r="I17" s="81">
        <v>55</v>
      </c>
      <c r="J17" s="118">
        <f t="shared" si="2"/>
        <v>27</v>
      </c>
    </row>
    <row r="18" spans="1:10" x14ac:dyDescent="0.3">
      <c r="A18" s="81" t="s">
        <v>352</v>
      </c>
      <c r="B18" s="81" t="s">
        <v>353</v>
      </c>
      <c r="C18" s="40">
        <v>78000</v>
      </c>
      <c r="D18" s="40">
        <v>210000</v>
      </c>
      <c r="E18" s="40">
        <f t="shared" si="1"/>
        <v>280000</v>
      </c>
      <c r="F18" s="26"/>
      <c r="G18" s="81">
        <v>14004</v>
      </c>
      <c r="H18" s="81">
        <v>80</v>
      </c>
      <c r="I18" s="81">
        <v>86</v>
      </c>
      <c r="J18" s="118">
        <f t="shared" si="2"/>
        <v>6</v>
      </c>
    </row>
    <row r="19" spans="1:10" x14ac:dyDescent="0.3">
      <c r="A19" s="81" t="s">
        <v>354</v>
      </c>
      <c r="B19" s="81" t="s">
        <v>355</v>
      </c>
      <c r="C19" s="40">
        <v>72000</v>
      </c>
      <c r="D19" s="40">
        <v>110000</v>
      </c>
      <c r="E19" s="40">
        <f t="shared" si="1"/>
        <v>180000</v>
      </c>
      <c r="F19" s="26"/>
      <c r="G19" s="81">
        <v>14005</v>
      </c>
      <c r="H19" s="81">
        <v>75</v>
      </c>
      <c r="I19" s="81">
        <v>79</v>
      </c>
      <c r="J19" s="118">
        <f t="shared" si="2"/>
        <v>4</v>
      </c>
    </row>
    <row r="20" spans="1:10" x14ac:dyDescent="0.3">
      <c r="A20" s="81" t="s">
        <v>356</v>
      </c>
      <c r="B20" s="81" t="s">
        <v>357</v>
      </c>
      <c r="C20" s="40">
        <v>68000</v>
      </c>
      <c r="D20" s="40">
        <v>150000</v>
      </c>
      <c r="E20" s="40">
        <f t="shared" si="1"/>
        <v>210000</v>
      </c>
      <c r="F20" s="26"/>
      <c r="G20" s="81">
        <v>14006</v>
      </c>
      <c r="H20" s="81">
        <v>91</v>
      </c>
      <c r="I20" s="81">
        <v>88</v>
      </c>
      <c r="J20" s="118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5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 x14ac:dyDescent="0.3">
      <c r="A11" s="132" t="s">
        <v>332</v>
      </c>
      <c r="B11" s="132"/>
      <c r="C11" s="132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 x14ac:dyDescent="0.3">
      <c r="A14" s="2" t="s">
        <v>338</v>
      </c>
      <c r="B14" s="2" t="s">
        <v>339</v>
      </c>
      <c r="C14" s="2" t="s">
        <v>340</v>
      </c>
      <c r="D14" s="2" t="s">
        <v>341</v>
      </c>
      <c r="E14" s="85" t="s">
        <v>342</v>
      </c>
      <c r="F14" s="26"/>
      <c r="G14" s="2" t="s">
        <v>343</v>
      </c>
      <c r="H14" s="2" t="s">
        <v>344</v>
      </c>
      <c r="I14" s="2" t="s">
        <v>345</v>
      </c>
      <c r="J14" s="85" t="s">
        <v>346</v>
      </c>
    </row>
    <row r="15" spans="1:10" x14ac:dyDescent="0.3">
      <c r="A15" s="2" t="s">
        <v>58</v>
      </c>
      <c r="B15" s="2" t="s">
        <v>347</v>
      </c>
      <c r="C15" s="40">
        <v>35000</v>
      </c>
      <c r="D15" s="40">
        <v>150000</v>
      </c>
      <c r="E15" s="40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 x14ac:dyDescent="0.3">
      <c r="A16" s="2" t="s">
        <v>348</v>
      </c>
      <c r="B16" s="2" t="s">
        <v>349</v>
      </c>
      <c r="C16" s="40">
        <v>32000</v>
      </c>
      <c r="D16" s="40">
        <v>170000</v>
      </c>
      <c r="E16" s="40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1">
        <f t="shared" ref="J16:J20" si="2">ABS(H16-I16)</f>
        <v>5</v>
      </c>
    </row>
    <row r="17" spans="1:10" x14ac:dyDescent="0.3">
      <c r="A17" s="2" t="s">
        <v>350</v>
      </c>
      <c r="B17" s="2" t="s">
        <v>351</v>
      </c>
      <c r="C17" s="40">
        <v>39000</v>
      </c>
      <c r="D17" s="40">
        <v>120000</v>
      </c>
      <c r="E17" s="40">
        <f t="shared" si="1"/>
        <v>150000</v>
      </c>
      <c r="F17" s="26"/>
      <c r="G17" s="2">
        <v>14003</v>
      </c>
      <c r="H17" s="2">
        <v>82</v>
      </c>
      <c r="I17" s="2">
        <v>55</v>
      </c>
      <c r="J17" s="81">
        <f t="shared" si="2"/>
        <v>27</v>
      </c>
    </row>
    <row r="18" spans="1:10" x14ac:dyDescent="0.3">
      <c r="A18" s="2" t="s">
        <v>352</v>
      </c>
      <c r="B18" s="2" t="s">
        <v>353</v>
      </c>
      <c r="C18" s="40">
        <v>78000</v>
      </c>
      <c r="D18" s="40">
        <v>210000</v>
      </c>
      <c r="E18" s="40">
        <f t="shared" si="1"/>
        <v>280000</v>
      </c>
      <c r="F18" s="26"/>
      <c r="G18" s="2">
        <v>14004</v>
      </c>
      <c r="H18" s="2">
        <v>80</v>
      </c>
      <c r="I18" s="2">
        <v>86</v>
      </c>
      <c r="J18" s="81">
        <f t="shared" si="2"/>
        <v>6</v>
      </c>
    </row>
    <row r="19" spans="1:10" x14ac:dyDescent="0.3">
      <c r="A19" s="2" t="s">
        <v>354</v>
      </c>
      <c r="B19" s="2" t="s">
        <v>355</v>
      </c>
      <c r="C19" s="40">
        <v>72000</v>
      </c>
      <c r="D19" s="40">
        <v>110000</v>
      </c>
      <c r="E19" s="40">
        <f t="shared" si="1"/>
        <v>180000</v>
      </c>
      <c r="F19" s="26"/>
      <c r="G19" s="2">
        <v>14005</v>
      </c>
      <c r="H19" s="2">
        <v>75</v>
      </c>
      <c r="I19" s="2">
        <v>79</v>
      </c>
      <c r="J19" s="81">
        <f t="shared" si="2"/>
        <v>4</v>
      </c>
    </row>
    <row r="20" spans="1:10" x14ac:dyDescent="0.3">
      <c r="A20" s="2" t="s">
        <v>356</v>
      </c>
      <c r="B20" s="2" t="s">
        <v>357</v>
      </c>
      <c r="C20" s="40">
        <v>68000</v>
      </c>
      <c r="D20" s="40">
        <v>150000</v>
      </c>
      <c r="E20" s="40">
        <f t="shared" si="1"/>
        <v>210000</v>
      </c>
      <c r="F20" s="26"/>
      <c r="G20" s="2">
        <v>14006</v>
      </c>
      <c r="H20" s="2">
        <v>91</v>
      </c>
      <c r="I20" s="2">
        <v>88</v>
      </c>
      <c r="J20" s="81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topLeftCell="A26" zoomScale="145" zoomScaleNormal="145" workbookViewId="0">
      <selection activeCell="I34" sqref="I34"/>
    </sheetView>
  </sheetViews>
  <sheetFormatPr defaultRowHeight="16.5" x14ac:dyDescent="0.3"/>
  <cols>
    <col min="4" max="4" width="10.875" bestFit="1" customWidth="1"/>
    <col min="5" max="5" width="12.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1"/>
      <c r="K1" s="26"/>
    </row>
    <row r="2" spans="1:11" x14ac:dyDescent="0.3">
      <c r="A2" s="81" t="s">
        <v>177</v>
      </c>
      <c r="B2" s="81" t="s">
        <v>116</v>
      </c>
      <c r="C2" s="81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81" t="s">
        <v>367</v>
      </c>
      <c r="B3" s="81" t="s">
        <v>368</v>
      </c>
      <c r="C3" s="81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1" t="s">
        <v>371</v>
      </c>
      <c r="B4" s="81" t="s">
        <v>368</v>
      </c>
      <c r="C4" s="81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1" t="s">
        <v>375</v>
      </c>
      <c r="B5" s="81" t="s">
        <v>368</v>
      </c>
      <c r="C5" s="81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1" t="s">
        <v>377</v>
      </c>
      <c r="B6" s="81" t="s">
        <v>378</v>
      </c>
      <c r="C6" s="81" t="s">
        <v>369</v>
      </c>
      <c r="D6" s="26"/>
      <c r="E6" s="26"/>
      <c r="F6" s="26"/>
      <c r="G6" s="35" t="s">
        <v>320</v>
      </c>
      <c r="H6" s="28">
        <v>83</v>
      </c>
      <c r="I6" s="28">
        <v>79</v>
      </c>
      <c r="J6" s="28">
        <v>99</v>
      </c>
      <c r="K6" s="26"/>
    </row>
    <row r="7" spans="1:11" x14ac:dyDescent="0.3">
      <c r="A7" s="81" t="s">
        <v>380</v>
      </c>
      <c r="B7" s="81" t="s">
        <v>378</v>
      </c>
      <c r="C7" s="81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1" t="s">
        <v>384</v>
      </c>
      <c r="B8" s="81" t="s">
        <v>378</v>
      </c>
      <c r="C8" s="81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1" t="s">
        <v>387</v>
      </c>
      <c r="B9" s="81" t="s">
        <v>388</v>
      </c>
      <c r="C9" s="81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1" t="s">
        <v>391</v>
      </c>
      <c r="B10" s="81" t="s">
        <v>388</v>
      </c>
      <c r="C10" s="81" t="s">
        <v>232</v>
      </c>
      <c r="D10" s="132" t="s">
        <v>393</v>
      </c>
      <c r="E10" s="132"/>
      <c r="F10" s="26"/>
      <c r="G10" s="26"/>
      <c r="H10" s="26"/>
      <c r="I10" s="26"/>
      <c r="J10" s="26"/>
      <c r="K10" s="26"/>
    </row>
    <row r="11" spans="1:11" x14ac:dyDescent="0.3">
      <c r="A11" s="81" t="s">
        <v>394</v>
      </c>
      <c r="B11" s="81" t="s">
        <v>388</v>
      </c>
      <c r="C11" s="81" t="s">
        <v>238</v>
      </c>
      <c r="D11" s="123" t="str">
        <f>COUNTIF(C3:C11,"&lt;&gt;대리")&amp;"명"</f>
        <v>6명</v>
      </c>
      <c r="E11" s="123"/>
      <c r="F11" s="26"/>
      <c r="G11" s="129" t="s">
        <v>397</v>
      </c>
      <c r="H11" s="130"/>
      <c r="I11" s="130"/>
      <c r="J11" s="42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3"/>
      <c r="D13" s="43"/>
      <c r="E13" s="43"/>
      <c r="F13" s="26"/>
      <c r="G13" s="26" t="s">
        <v>114</v>
      </c>
      <c r="H13" s="27" t="s">
        <v>399</v>
      </c>
      <c r="I13" s="26"/>
      <c r="J13" s="26"/>
      <c r="K13" s="26"/>
    </row>
    <row r="14" spans="1:11" x14ac:dyDescent="0.3">
      <c r="A14" s="81" t="s">
        <v>400</v>
      </c>
      <c r="B14" s="81" t="s">
        <v>401</v>
      </c>
      <c r="C14" s="81" t="s">
        <v>402</v>
      </c>
      <c r="D14" s="81" t="s">
        <v>219</v>
      </c>
      <c r="E14" s="44" t="s">
        <v>404</v>
      </c>
      <c r="F14" s="26"/>
      <c r="G14" s="81" t="s">
        <v>405</v>
      </c>
      <c r="H14" s="81" t="s">
        <v>406</v>
      </c>
      <c r="I14" s="81" t="s">
        <v>407</v>
      </c>
      <c r="J14" s="81" t="s">
        <v>408</v>
      </c>
      <c r="K14" s="81" t="s">
        <v>409</v>
      </c>
    </row>
    <row r="15" spans="1:11" x14ac:dyDescent="0.3">
      <c r="A15" s="81" t="s">
        <v>410</v>
      </c>
      <c r="B15" s="81" t="s">
        <v>411</v>
      </c>
      <c r="C15" s="81" t="s">
        <v>412</v>
      </c>
      <c r="D15" s="83">
        <v>3560000</v>
      </c>
      <c r="E15" s="28">
        <v>2812000</v>
      </c>
      <c r="F15" s="26"/>
      <c r="G15" s="81" t="s">
        <v>413</v>
      </c>
      <c r="H15" s="81">
        <v>165</v>
      </c>
      <c r="I15" s="81">
        <v>45</v>
      </c>
      <c r="J15" s="81">
        <v>9</v>
      </c>
      <c r="K15" s="81">
        <v>120</v>
      </c>
    </row>
    <row r="16" spans="1:11" x14ac:dyDescent="0.3">
      <c r="A16" s="81" t="s">
        <v>414</v>
      </c>
      <c r="B16" s="81" t="s">
        <v>415</v>
      </c>
      <c r="C16" s="81" t="s">
        <v>416</v>
      </c>
      <c r="D16" s="83">
        <v>3256000</v>
      </c>
      <c r="E16" s="28">
        <v>2126000</v>
      </c>
      <c r="F16" s="26"/>
      <c r="G16" s="81" t="s">
        <v>417</v>
      </c>
      <c r="H16" s="81">
        <v>148</v>
      </c>
      <c r="I16" s="81">
        <v>12</v>
      </c>
      <c r="J16" s="81">
        <v>35</v>
      </c>
      <c r="K16" s="81">
        <v>94</v>
      </c>
    </row>
    <row r="17" spans="1:11" x14ac:dyDescent="0.3">
      <c r="A17" s="81" t="s">
        <v>418</v>
      </c>
      <c r="B17" s="81" t="s">
        <v>419</v>
      </c>
      <c r="C17" s="81" t="s">
        <v>420</v>
      </c>
      <c r="D17" s="83">
        <v>2560000</v>
      </c>
      <c r="E17" s="28">
        <v>1582000</v>
      </c>
      <c r="F17" s="26"/>
      <c r="G17" s="81" t="s">
        <v>421</v>
      </c>
      <c r="H17" s="81">
        <v>117</v>
      </c>
      <c r="I17" s="81">
        <v>48</v>
      </c>
      <c r="J17" s="81">
        <v>12</v>
      </c>
      <c r="K17" s="81">
        <v>106</v>
      </c>
    </row>
    <row r="18" spans="1:11" x14ac:dyDescent="0.3">
      <c r="A18" s="81" t="s">
        <v>422</v>
      </c>
      <c r="B18" s="81" t="s">
        <v>415</v>
      </c>
      <c r="C18" s="81" t="s">
        <v>423</v>
      </c>
      <c r="D18" s="83">
        <v>3075000</v>
      </c>
      <c r="E18" s="28">
        <v>1868000</v>
      </c>
      <c r="F18" s="26"/>
      <c r="G18" s="81" t="s">
        <v>424</v>
      </c>
      <c r="H18" s="81">
        <v>135</v>
      </c>
      <c r="I18" s="81">
        <v>19</v>
      </c>
      <c r="J18" s="81">
        <v>42</v>
      </c>
      <c r="K18" s="81">
        <v>97</v>
      </c>
    </row>
    <row r="19" spans="1:11" x14ac:dyDescent="0.3">
      <c r="A19" s="81" t="s">
        <v>425</v>
      </c>
      <c r="B19" s="81" t="s">
        <v>415</v>
      </c>
      <c r="C19" s="81" t="s">
        <v>426</v>
      </c>
      <c r="D19" s="83">
        <v>2856000</v>
      </c>
      <c r="E19" s="28">
        <v>1540000</v>
      </c>
      <c r="F19" s="26"/>
      <c r="G19" s="81" t="s">
        <v>427</v>
      </c>
      <c r="H19" s="81">
        <v>142</v>
      </c>
      <c r="I19" s="81">
        <v>51</v>
      </c>
      <c r="J19" s="81">
        <v>11</v>
      </c>
      <c r="K19" s="81">
        <v>114</v>
      </c>
    </row>
    <row r="20" spans="1:11" x14ac:dyDescent="0.3">
      <c r="A20" s="81" t="s">
        <v>428</v>
      </c>
      <c r="B20" s="81" t="s">
        <v>411</v>
      </c>
      <c r="C20" s="81" t="s">
        <v>420</v>
      </c>
      <c r="D20" s="83">
        <v>2473000</v>
      </c>
      <c r="E20" s="28">
        <v>1495000</v>
      </c>
      <c r="F20" s="26"/>
      <c r="G20" s="81" t="s">
        <v>429</v>
      </c>
      <c r="H20" s="81">
        <v>135</v>
      </c>
      <c r="I20" s="81">
        <v>49</v>
      </c>
      <c r="J20" s="81">
        <v>16</v>
      </c>
      <c r="K20" s="81">
        <v>108</v>
      </c>
    </row>
    <row r="21" spans="1:11" x14ac:dyDescent="0.3">
      <c r="A21" s="81" t="s">
        <v>430</v>
      </c>
      <c r="B21" s="81" t="s">
        <v>419</v>
      </c>
      <c r="C21" s="81" t="s">
        <v>420</v>
      </c>
      <c r="D21" s="83">
        <v>2372000</v>
      </c>
      <c r="E21" s="28">
        <v>1453000</v>
      </c>
      <c r="F21" s="26"/>
      <c r="G21" s="81" t="s">
        <v>431</v>
      </c>
      <c r="H21" s="81">
        <v>145</v>
      </c>
      <c r="I21" s="81">
        <v>29</v>
      </c>
      <c r="J21" s="81">
        <v>21</v>
      </c>
      <c r="K21" s="81">
        <v>84</v>
      </c>
    </row>
    <row r="22" spans="1:11" x14ac:dyDescent="0.3">
      <c r="A22" s="81" t="s">
        <v>432</v>
      </c>
      <c r="B22" s="81" t="s">
        <v>411</v>
      </c>
      <c r="C22" s="81" t="s">
        <v>426</v>
      </c>
      <c r="D22" s="83">
        <v>2903000</v>
      </c>
      <c r="E22" s="28">
        <v>1500000</v>
      </c>
      <c r="F22" s="26"/>
      <c r="G22" s="81" t="s">
        <v>433</v>
      </c>
      <c r="H22" s="81">
        <v>135</v>
      </c>
      <c r="I22" s="81">
        <v>22</v>
      </c>
      <c r="J22" s="81">
        <v>10</v>
      </c>
      <c r="K22" s="81">
        <v>106</v>
      </c>
    </row>
    <row r="23" spans="1:11" x14ac:dyDescent="0.3">
      <c r="A23" s="43"/>
      <c r="B23" s="43"/>
      <c r="C23" s="43"/>
      <c r="D23" s="43"/>
      <c r="E23" s="43"/>
      <c r="F23" s="26"/>
      <c r="G23" s="81" t="s">
        <v>434</v>
      </c>
      <c r="H23" s="81">
        <v>185</v>
      </c>
      <c r="I23" s="81">
        <v>16</v>
      </c>
      <c r="J23" s="81">
        <v>24</v>
      </c>
      <c r="K23" s="81">
        <v>113</v>
      </c>
    </row>
    <row r="24" spans="1:11" x14ac:dyDescent="0.3">
      <c r="A24" s="137" t="s">
        <v>435</v>
      </c>
      <c r="B24" s="138"/>
      <c r="C24" s="138"/>
      <c r="D24" s="139"/>
      <c r="E24" s="143" t="str">
        <f>COUNTIFS(E15:E22,"&gt;1500000",D15:D22,"&gt;="&amp;AVERAGE(D15:D22))&amp;"명"</f>
        <v>3명</v>
      </c>
      <c r="F24" s="26"/>
      <c r="G24" s="129" t="s">
        <v>436</v>
      </c>
      <c r="H24" s="130"/>
      <c r="I24" s="130"/>
      <c r="J24" s="131"/>
      <c r="K24" s="81">
        <f ca="1">AVERAGEIF(I15:I23,"&gt;=40",K15:K22)</f>
        <v>112</v>
      </c>
    </row>
    <row r="25" spans="1:11" x14ac:dyDescent="0.3">
      <c r="A25" s="140"/>
      <c r="B25" s="141"/>
      <c r="C25" s="141"/>
      <c r="D25" s="142"/>
      <c r="E25" s="143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169</v>
      </c>
      <c r="B27" s="27" t="s">
        <v>438</v>
      </c>
      <c r="C27" s="26"/>
      <c r="D27" s="26"/>
      <c r="E27" s="26"/>
      <c r="F27" s="26"/>
      <c r="G27" s="45" t="s">
        <v>171</v>
      </c>
      <c r="H27" s="46" t="s">
        <v>440</v>
      </c>
      <c r="I27" s="46"/>
      <c r="J27" s="45"/>
      <c r="K27" s="26"/>
    </row>
    <row r="28" spans="1:11" x14ac:dyDescent="0.3">
      <c r="A28" s="81" t="s">
        <v>441</v>
      </c>
      <c r="B28" s="81" t="s">
        <v>442</v>
      </c>
      <c r="C28" s="81" t="s">
        <v>443</v>
      </c>
      <c r="D28" s="81" t="s">
        <v>444</v>
      </c>
      <c r="E28" s="135" t="s">
        <v>445</v>
      </c>
      <c r="F28" s="26"/>
      <c r="G28" s="5" t="s">
        <v>177</v>
      </c>
      <c r="H28" s="5" t="s">
        <v>174</v>
      </c>
      <c r="I28" s="5" t="s">
        <v>447</v>
      </c>
      <c r="J28" s="87" t="s">
        <v>448</v>
      </c>
      <c r="K28" s="26"/>
    </row>
    <row r="29" spans="1:11" x14ac:dyDescent="0.3">
      <c r="A29" s="81" t="s">
        <v>449</v>
      </c>
      <c r="B29" s="81">
        <v>5535</v>
      </c>
      <c r="C29" s="81">
        <v>6021</v>
      </c>
      <c r="D29" s="81">
        <v>4831</v>
      </c>
      <c r="E29" s="136"/>
      <c r="F29" s="26"/>
      <c r="G29" s="5" t="s">
        <v>450</v>
      </c>
      <c r="H29" s="5" t="s">
        <v>188</v>
      </c>
      <c r="I29" s="5">
        <v>87</v>
      </c>
      <c r="J29" s="5" t="str">
        <f>LARGE(I29:I38,3)&amp;"점"</f>
        <v>95점</v>
      </c>
      <c r="K29" s="26"/>
    </row>
    <row r="30" spans="1:11" x14ac:dyDescent="0.3">
      <c r="A30" s="81" t="s">
        <v>452</v>
      </c>
      <c r="B30" s="81">
        <v>5468</v>
      </c>
      <c r="C30" s="81">
        <v>6871</v>
      </c>
      <c r="D30" s="81">
        <v>5001</v>
      </c>
      <c r="E30" s="42">
        <f>ROUNDDOWN(_xlfn.STDEV.S(D29:D38),1)</f>
        <v>327.5</v>
      </c>
      <c r="F30" s="26"/>
      <c r="G30" s="5" t="s">
        <v>453</v>
      </c>
      <c r="H30" s="5" t="s">
        <v>183</v>
      </c>
      <c r="I30" s="5">
        <v>95</v>
      </c>
      <c r="J30" s="45"/>
      <c r="K30" s="26"/>
    </row>
    <row r="31" spans="1:11" x14ac:dyDescent="0.3">
      <c r="A31" s="81" t="s">
        <v>455</v>
      </c>
      <c r="B31" s="81">
        <v>5724</v>
      </c>
      <c r="C31" s="81">
        <v>6278</v>
      </c>
      <c r="D31" s="81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5"/>
      <c r="K31" s="26"/>
    </row>
    <row r="32" spans="1:11" x14ac:dyDescent="0.3">
      <c r="A32" s="81" t="s">
        <v>457</v>
      </c>
      <c r="B32" s="81">
        <v>5689</v>
      </c>
      <c r="C32" s="81">
        <v>6389</v>
      </c>
      <c r="D32" s="81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5"/>
      <c r="K32" s="26"/>
    </row>
    <row r="33" spans="1:11" x14ac:dyDescent="0.3">
      <c r="A33" s="81" t="s">
        <v>459</v>
      </c>
      <c r="B33" s="81">
        <v>5179</v>
      </c>
      <c r="C33" s="81">
        <v>6172</v>
      </c>
      <c r="D33" s="81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5"/>
      <c r="K33" s="26"/>
    </row>
    <row r="34" spans="1:11" x14ac:dyDescent="0.3">
      <c r="A34" s="81" t="s">
        <v>462</v>
      </c>
      <c r="B34" s="81">
        <v>5348</v>
      </c>
      <c r="C34" s="81">
        <v>6008</v>
      </c>
      <c r="D34" s="81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5"/>
      <c r="K34" s="26"/>
    </row>
    <row r="35" spans="1:11" x14ac:dyDescent="0.3">
      <c r="A35" s="81" t="s">
        <v>464</v>
      </c>
      <c r="B35" s="81">
        <v>5493</v>
      </c>
      <c r="C35" s="81">
        <v>6217</v>
      </c>
      <c r="D35" s="81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5"/>
      <c r="K35" s="26"/>
    </row>
    <row r="36" spans="1:11" x14ac:dyDescent="0.3">
      <c r="A36" s="81" t="s">
        <v>467</v>
      </c>
      <c r="B36" s="81">
        <v>5157</v>
      </c>
      <c r="C36" s="81">
        <v>6397</v>
      </c>
      <c r="D36" s="81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5"/>
      <c r="K36" s="26"/>
    </row>
    <row r="37" spans="1:11" x14ac:dyDescent="0.3">
      <c r="A37" s="81" t="s">
        <v>469</v>
      </c>
      <c r="B37" s="81">
        <v>5537</v>
      </c>
      <c r="C37" s="81">
        <v>6284</v>
      </c>
      <c r="D37" s="81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5"/>
      <c r="K37" s="26"/>
    </row>
    <row r="38" spans="1:11" x14ac:dyDescent="0.3">
      <c r="A38" s="81" t="s">
        <v>471</v>
      </c>
      <c r="B38" s="81">
        <v>5399</v>
      </c>
      <c r="C38" s="81">
        <v>6316</v>
      </c>
      <c r="D38" s="81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5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1"/>
      <c r="K1" s="26"/>
    </row>
    <row r="2" spans="1:11" x14ac:dyDescent="0.3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2" t="s">
        <v>391</v>
      </c>
      <c r="B10" s="2" t="s">
        <v>392</v>
      </c>
      <c r="C10" s="2" t="s">
        <v>236</v>
      </c>
      <c r="D10" s="132" t="s">
        <v>393</v>
      </c>
      <c r="E10" s="132"/>
      <c r="F10" s="26"/>
      <c r="G10" s="26"/>
      <c r="H10" s="26"/>
      <c r="I10" s="26"/>
      <c r="J10" s="26"/>
      <c r="K10" s="26"/>
    </row>
    <row r="11" spans="1:11" x14ac:dyDescent="0.3">
      <c r="A11" s="2" t="s">
        <v>394</v>
      </c>
      <c r="B11" s="2" t="s">
        <v>395</v>
      </c>
      <c r="C11" s="2" t="s">
        <v>396</v>
      </c>
      <c r="D11" s="123" t="str">
        <f>COUNTIF(C3:C11,"&lt;&gt;대리")&amp;"명"</f>
        <v>6명</v>
      </c>
      <c r="E11" s="123"/>
      <c r="F11" s="26"/>
      <c r="G11" s="129" t="s">
        <v>397</v>
      </c>
      <c r="H11" s="130"/>
      <c r="I11" s="130"/>
      <c r="J11" s="42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3"/>
      <c r="D13" s="43"/>
      <c r="E13" s="43"/>
      <c r="F13" s="26"/>
      <c r="G13" s="26" t="s">
        <v>248</v>
      </c>
      <c r="H13" s="27" t="s">
        <v>399</v>
      </c>
      <c r="I13" s="26"/>
      <c r="J13" s="26"/>
      <c r="K13" s="26"/>
    </row>
    <row r="14" spans="1:11" x14ac:dyDescent="0.3">
      <c r="A14" s="2" t="s">
        <v>400</v>
      </c>
      <c r="B14" s="2" t="s">
        <v>401</v>
      </c>
      <c r="C14" s="2" t="s">
        <v>402</v>
      </c>
      <c r="D14" s="2" t="s">
        <v>403</v>
      </c>
      <c r="E14" s="44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 x14ac:dyDescent="0.3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 x14ac:dyDescent="0.3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 x14ac:dyDescent="0.3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 x14ac:dyDescent="0.3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 x14ac:dyDescent="0.3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 x14ac:dyDescent="0.3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 x14ac:dyDescent="0.3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 x14ac:dyDescent="0.3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 x14ac:dyDescent="0.3">
      <c r="A23" s="43"/>
      <c r="B23" s="43"/>
      <c r="C23" s="43"/>
      <c r="D23" s="43"/>
      <c r="E23" s="43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 x14ac:dyDescent="0.3">
      <c r="A24" s="137" t="s">
        <v>435</v>
      </c>
      <c r="B24" s="138"/>
      <c r="C24" s="138"/>
      <c r="D24" s="139"/>
      <c r="E24" s="144" t="str">
        <f>COUNTIFS(E15:E22,"&gt;1500000",D15:D22,"&gt;="&amp;AVERAGE(D15:D22))&amp;"명"</f>
        <v>3명</v>
      </c>
      <c r="F24" s="26"/>
      <c r="G24" s="129" t="s">
        <v>436</v>
      </c>
      <c r="H24" s="130"/>
      <c r="I24" s="130"/>
      <c r="J24" s="131"/>
      <c r="K24" s="91">
        <f>AVERAGEIF(I15:I23,"&gt;=40",K15:K23)</f>
        <v>112</v>
      </c>
    </row>
    <row r="25" spans="1:11" x14ac:dyDescent="0.3">
      <c r="A25" s="140"/>
      <c r="B25" s="141"/>
      <c r="C25" s="141"/>
      <c r="D25" s="142"/>
      <c r="E25" s="144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437</v>
      </c>
      <c r="B27" s="27" t="s">
        <v>438</v>
      </c>
      <c r="C27" s="26"/>
      <c r="D27" s="26"/>
      <c r="E27" s="26"/>
      <c r="F27" s="26"/>
      <c r="G27" s="45" t="s">
        <v>439</v>
      </c>
      <c r="H27" s="46" t="s">
        <v>440</v>
      </c>
      <c r="I27" s="46"/>
      <c r="J27" s="45"/>
      <c r="K27" s="26"/>
    </row>
    <row r="28" spans="1:11" x14ac:dyDescent="0.3">
      <c r="A28" s="2" t="s">
        <v>441</v>
      </c>
      <c r="B28" s="2" t="s">
        <v>442</v>
      </c>
      <c r="C28" s="2" t="s">
        <v>443</v>
      </c>
      <c r="D28" s="2" t="s">
        <v>444</v>
      </c>
      <c r="E28" s="135" t="s">
        <v>445</v>
      </c>
      <c r="F28" s="26"/>
      <c r="G28" s="5" t="s">
        <v>360</v>
      </c>
      <c r="H28" s="5" t="s">
        <v>446</v>
      </c>
      <c r="I28" s="5" t="s">
        <v>447</v>
      </c>
      <c r="J28" s="87" t="s">
        <v>448</v>
      </c>
      <c r="K28" s="26"/>
    </row>
    <row r="29" spans="1:11" x14ac:dyDescent="0.3">
      <c r="A29" s="2" t="s">
        <v>449</v>
      </c>
      <c r="B29" s="2">
        <v>5535</v>
      </c>
      <c r="C29" s="2">
        <v>6021</v>
      </c>
      <c r="D29" s="2">
        <v>4831</v>
      </c>
      <c r="E29" s="136"/>
      <c r="F29" s="26"/>
      <c r="G29" s="5" t="s">
        <v>450</v>
      </c>
      <c r="H29" s="5" t="s">
        <v>451</v>
      </c>
      <c r="I29" s="5">
        <v>87</v>
      </c>
      <c r="J29" s="93" t="str">
        <f>LARGE(I29:I38,3)&amp;"점"</f>
        <v>95점</v>
      </c>
      <c r="K29" s="26"/>
    </row>
    <row r="30" spans="1:11" x14ac:dyDescent="0.3">
      <c r="A30" s="2" t="s">
        <v>452</v>
      </c>
      <c r="B30" s="2">
        <v>5468</v>
      </c>
      <c r="C30" s="2">
        <v>6871</v>
      </c>
      <c r="D30" s="2">
        <v>5001</v>
      </c>
      <c r="E30" s="92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5"/>
      <c r="K30" s="26"/>
    </row>
    <row r="31" spans="1:11" x14ac:dyDescent="0.3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5"/>
      <c r="K31" s="26"/>
    </row>
    <row r="32" spans="1:11" x14ac:dyDescent="0.3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5"/>
      <c r="K32" s="26"/>
    </row>
    <row r="33" spans="1:11" x14ac:dyDescent="0.3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5"/>
      <c r="K33" s="26"/>
    </row>
    <row r="34" spans="1:11" x14ac:dyDescent="0.3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5"/>
      <c r="K34" s="26"/>
    </row>
    <row r="35" spans="1:11" x14ac:dyDescent="0.3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5"/>
      <c r="K35" s="26"/>
    </row>
    <row r="36" spans="1:11" x14ac:dyDescent="0.3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5"/>
      <c r="K36" s="26"/>
    </row>
    <row r="37" spans="1:11" x14ac:dyDescent="0.3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5"/>
      <c r="K37" s="26"/>
    </row>
    <row r="38" spans="1:11" x14ac:dyDescent="0.3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5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topLeftCell="C25" zoomScale="175" zoomScaleNormal="175" workbookViewId="0">
      <selection activeCell="J37" sqref="J37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 x14ac:dyDescent="0.3">
      <c r="A2" s="81" t="s">
        <v>476</v>
      </c>
      <c r="B2" s="81" t="s">
        <v>477</v>
      </c>
      <c r="C2" s="81" t="s">
        <v>478</v>
      </c>
      <c r="D2" s="81" t="s">
        <v>479</v>
      </c>
      <c r="E2" s="81" t="s">
        <v>480</v>
      </c>
      <c r="F2" s="86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 x14ac:dyDescent="0.3">
      <c r="A3" s="81" t="s">
        <v>485</v>
      </c>
      <c r="B3" s="81">
        <v>15</v>
      </c>
      <c r="C3" s="81">
        <v>13</v>
      </c>
      <c r="D3" s="81">
        <v>10</v>
      </c>
      <c r="E3" s="81">
        <f>B3*3+C3*1</f>
        <v>58</v>
      </c>
      <c r="F3" s="81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83">
        <v>4800000</v>
      </c>
    </row>
    <row r="4" spans="1:12" x14ac:dyDescent="0.3">
      <c r="A4" s="81" t="s">
        <v>487</v>
      </c>
      <c r="B4" s="81">
        <v>7</v>
      </c>
      <c r="C4" s="81">
        <v>15</v>
      </c>
      <c r="D4" s="81">
        <v>16</v>
      </c>
      <c r="E4" s="81">
        <f t="shared" ref="E4:E12" si="0">B4*3+C4*1</f>
        <v>36</v>
      </c>
      <c r="F4" s="119" t="str">
        <f t="shared" ref="F4:F12" si="1">IF(_xlfn.RANK.EQ(E4,$E$3:$E$12)&lt;=3,"결승진출","")</f>
        <v/>
      </c>
      <c r="G4" s="7"/>
      <c r="H4" s="5" t="s">
        <v>488</v>
      </c>
      <c r="I4" s="5" t="s">
        <v>188</v>
      </c>
      <c r="J4" s="30" t="s">
        <v>232</v>
      </c>
      <c r="K4" s="30">
        <v>5</v>
      </c>
      <c r="L4" s="83">
        <v>4000000</v>
      </c>
    </row>
    <row r="5" spans="1:12" x14ac:dyDescent="0.3">
      <c r="A5" s="81" t="s">
        <v>490</v>
      </c>
      <c r="B5" s="81">
        <v>24</v>
      </c>
      <c r="C5" s="81">
        <v>9</v>
      </c>
      <c r="D5" s="81">
        <v>5</v>
      </c>
      <c r="E5" s="81">
        <f t="shared" si="0"/>
        <v>81</v>
      </c>
      <c r="F5" s="119" t="str">
        <f t="shared" si="1"/>
        <v>결승진출</v>
      </c>
      <c r="G5" s="7"/>
      <c r="H5" s="5" t="s">
        <v>491</v>
      </c>
      <c r="I5" s="5" t="s">
        <v>183</v>
      </c>
      <c r="J5" s="30" t="s">
        <v>232</v>
      </c>
      <c r="K5" s="30">
        <v>5</v>
      </c>
      <c r="L5" s="83">
        <v>4000000</v>
      </c>
    </row>
    <row r="6" spans="1:12" x14ac:dyDescent="0.3">
      <c r="A6" s="81" t="s">
        <v>492</v>
      </c>
      <c r="B6" s="81">
        <v>14</v>
      </c>
      <c r="C6" s="81">
        <v>12</v>
      </c>
      <c r="D6" s="81">
        <v>12</v>
      </c>
      <c r="E6" s="81">
        <f t="shared" si="0"/>
        <v>54</v>
      </c>
      <c r="F6" s="119" t="str">
        <f t="shared" si="1"/>
        <v/>
      </c>
      <c r="G6" s="7"/>
      <c r="H6" s="5" t="s">
        <v>493</v>
      </c>
      <c r="I6" s="5" t="s">
        <v>188</v>
      </c>
      <c r="J6" s="30" t="s">
        <v>224</v>
      </c>
      <c r="K6" s="30">
        <v>3</v>
      </c>
      <c r="L6" s="83">
        <v>4600000</v>
      </c>
    </row>
    <row r="7" spans="1:12" x14ac:dyDescent="0.3">
      <c r="A7" s="81" t="s">
        <v>495</v>
      </c>
      <c r="B7" s="81">
        <v>9</v>
      </c>
      <c r="C7" s="81">
        <v>13</v>
      </c>
      <c r="D7" s="81">
        <v>16</v>
      </c>
      <c r="E7" s="81">
        <f t="shared" si="0"/>
        <v>40</v>
      </c>
      <c r="F7" s="119" t="str">
        <f t="shared" si="1"/>
        <v/>
      </c>
      <c r="G7" s="7"/>
      <c r="H7" s="5" t="s">
        <v>496</v>
      </c>
      <c r="I7" s="5" t="s">
        <v>183</v>
      </c>
      <c r="J7" s="30" t="s">
        <v>224</v>
      </c>
      <c r="K7" s="30">
        <v>2</v>
      </c>
      <c r="L7" s="83">
        <v>4500000</v>
      </c>
    </row>
    <row r="8" spans="1:12" x14ac:dyDescent="0.3">
      <c r="A8" s="81" t="s">
        <v>497</v>
      </c>
      <c r="B8" s="81">
        <v>14</v>
      </c>
      <c r="C8" s="81">
        <v>9</v>
      </c>
      <c r="D8" s="81">
        <v>15</v>
      </c>
      <c r="E8" s="81">
        <f t="shared" si="0"/>
        <v>51</v>
      </c>
      <c r="F8" s="119" t="str">
        <f t="shared" si="1"/>
        <v/>
      </c>
      <c r="G8" s="7"/>
      <c r="H8" s="5" t="s">
        <v>498</v>
      </c>
      <c r="I8" s="5" t="s">
        <v>188</v>
      </c>
      <c r="J8" s="30" t="s">
        <v>232</v>
      </c>
      <c r="K8" s="30">
        <v>1</v>
      </c>
      <c r="L8" s="83">
        <v>3200000</v>
      </c>
    </row>
    <row r="9" spans="1:12" x14ac:dyDescent="0.3">
      <c r="A9" s="81" t="s">
        <v>499</v>
      </c>
      <c r="B9" s="81">
        <v>8</v>
      </c>
      <c r="C9" s="81">
        <v>16</v>
      </c>
      <c r="D9" s="81">
        <v>14</v>
      </c>
      <c r="E9" s="81">
        <f t="shared" si="0"/>
        <v>40</v>
      </c>
      <c r="F9" s="119" t="str">
        <f t="shared" si="1"/>
        <v/>
      </c>
      <c r="G9" s="7"/>
      <c r="H9" s="5" t="s">
        <v>500</v>
      </c>
      <c r="I9" s="5" t="s">
        <v>183</v>
      </c>
      <c r="J9" s="30" t="s">
        <v>224</v>
      </c>
      <c r="K9" s="30">
        <v>3</v>
      </c>
      <c r="L9" s="83">
        <v>4600000</v>
      </c>
    </row>
    <row r="10" spans="1:12" x14ac:dyDescent="0.3">
      <c r="A10" s="81" t="s">
        <v>501</v>
      </c>
      <c r="B10" s="81">
        <v>17</v>
      </c>
      <c r="C10" s="81">
        <v>9</v>
      </c>
      <c r="D10" s="81">
        <v>12</v>
      </c>
      <c r="E10" s="81">
        <f t="shared" si="0"/>
        <v>60</v>
      </c>
      <c r="F10" s="119" t="str">
        <f t="shared" si="1"/>
        <v>결승진출</v>
      </c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3">
        <v>3400000</v>
      </c>
    </row>
    <row r="11" spans="1:12" x14ac:dyDescent="0.3">
      <c r="A11" s="81" t="s">
        <v>503</v>
      </c>
      <c r="B11" s="81">
        <v>13</v>
      </c>
      <c r="C11" s="81">
        <v>11</v>
      </c>
      <c r="D11" s="81">
        <v>14</v>
      </c>
      <c r="E11" s="81">
        <f t="shared" si="0"/>
        <v>50</v>
      </c>
      <c r="F11" s="119" t="str">
        <f t="shared" si="1"/>
        <v/>
      </c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3">
        <v>3800000</v>
      </c>
    </row>
    <row r="12" spans="1:12" x14ac:dyDescent="0.3">
      <c r="A12" s="81" t="s">
        <v>505</v>
      </c>
      <c r="B12" s="81">
        <v>7</v>
      </c>
      <c r="C12" s="81">
        <v>13</v>
      </c>
      <c r="D12" s="81">
        <v>18</v>
      </c>
      <c r="E12" s="81">
        <f t="shared" si="0"/>
        <v>34</v>
      </c>
      <c r="F12" s="119" t="str">
        <f t="shared" si="1"/>
        <v/>
      </c>
      <c r="G12" s="7"/>
      <c r="H12" s="129" t="s">
        <v>506</v>
      </c>
      <c r="I12" s="130"/>
      <c r="J12" s="130"/>
      <c r="K12" s="131"/>
      <c r="L12" s="83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 x14ac:dyDescent="0.3">
      <c r="A15" s="81" t="s">
        <v>177</v>
      </c>
      <c r="B15" s="81" t="s">
        <v>510</v>
      </c>
      <c r="C15" s="81" t="s">
        <v>511</v>
      </c>
      <c r="D15" s="81" t="s">
        <v>512</v>
      </c>
      <c r="E15" s="81" t="s">
        <v>513</v>
      </c>
      <c r="F15" s="86" t="s">
        <v>514</v>
      </c>
      <c r="G15" s="7"/>
      <c r="H15" s="81" t="s">
        <v>515</v>
      </c>
      <c r="I15" s="81" t="s">
        <v>516</v>
      </c>
      <c r="J15" s="81" t="s">
        <v>517</v>
      </c>
      <c r="K15" s="86" t="s">
        <v>518</v>
      </c>
      <c r="L15" s="7"/>
    </row>
    <row r="16" spans="1:12" x14ac:dyDescent="0.3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 t="str">
        <f>CHOOSE(COUNTA(B16:E16),"25%","50%","75%","100%")</f>
        <v>75%</v>
      </c>
      <c r="G16" s="7"/>
      <c r="H16" s="81">
        <v>1001</v>
      </c>
      <c r="I16" s="81">
        <v>29</v>
      </c>
      <c r="J16" s="47">
        <v>4.7222222222222221E-2</v>
      </c>
      <c r="K16" s="48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 t="str">
        <f t="shared" ref="F17:F24" si="2">CHOOSE(COUNTA(B17:E17),"25%","50%","75%","100%")</f>
        <v>75%</v>
      </c>
      <c r="G17" s="7"/>
      <c r="H17" s="81">
        <v>1002</v>
      </c>
      <c r="I17" s="81">
        <v>43</v>
      </c>
      <c r="J17" s="47">
        <v>6.3888888888888884E-2</v>
      </c>
      <c r="K17" s="48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 t="str">
        <f t="shared" si="2"/>
        <v>100%</v>
      </c>
      <c r="G18" s="7"/>
      <c r="H18" s="81">
        <v>1003</v>
      </c>
      <c r="I18" s="81">
        <v>52</v>
      </c>
      <c r="J18" s="47">
        <v>5.8333333333333327E-2</v>
      </c>
      <c r="K18" s="48" t="str">
        <f t="shared" si="3"/>
        <v/>
      </c>
      <c r="L18" s="7"/>
    </row>
    <row r="19" spans="1:12" x14ac:dyDescent="0.3">
      <c r="A19" s="5" t="s">
        <v>523</v>
      </c>
      <c r="B19" s="5" t="s">
        <v>126</v>
      </c>
      <c r="C19" s="5"/>
      <c r="D19" s="5" t="s">
        <v>126</v>
      </c>
      <c r="E19" s="5"/>
      <c r="F19" s="30" t="str">
        <f t="shared" si="2"/>
        <v>50%</v>
      </c>
      <c r="G19" s="7"/>
      <c r="H19" s="81">
        <v>1004</v>
      </c>
      <c r="I19" s="81">
        <v>35</v>
      </c>
      <c r="J19" s="47">
        <v>5.6250000000000001E-2</v>
      </c>
      <c r="K19" s="48" t="str">
        <f t="shared" si="3"/>
        <v/>
      </c>
      <c r="L19" s="7"/>
    </row>
    <row r="20" spans="1:12" x14ac:dyDescent="0.3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 t="str">
        <f t="shared" si="2"/>
        <v>75%</v>
      </c>
      <c r="G20" s="7"/>
      <c r="H20" s="81">
        <v>1005</v>
      </c>
      <c r="I20" s="81">
        <v>31</v>
      </c>
      <c r="J20" s="47">
        <v>4.3750000000000004E-2</v>
      </c>
      <c r="K20" s="48" t="str">
        <f t="shared" si="3"/>
        <v>입상</v>
      </c>
      <c r="L20" s="7"/>
    </row>
    <row r="21" spans="1:12" x14ac:dyDescent="0.3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 t="str">
        <f t="shared" si="2"/>
        <v>75%</v>
      </c>
      <c r="G21" s="7"/>
      <c r="H21" s="81">
        <v>1006</v>
      </c>
      <c r="I21" s="81">
        <v>34</v>
      </c>
      <c r="J21" s="47">
        <v>5.2083333333333336E-2</v>
      </c>
      <c r="K21" s="48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126</v>
      </c>
      <c r="D22" s="5"/>
      <c r="E22" s="5"/>
      <c r="F22" s="30" t="str">
        <f t="shared" si="2"/>
        <v>25%</v>
      </c>
      <c r="G22" s="7"/>
      <c r="H22" s="81">
        <v>1007</v>
      </c>
      <c r="I22" s="81">
        <v>28</v>
      </c>
      <c r="J22" s="47">
        <v>5.9722222222222225E-2</v>
      </c>
      <c r="K22" s="48" t="str">
        <f t="shared" si="3"/>
        <v/>
      </c>
      <c r="L22" s="7"/>
    </row>
    <row r="23" spans="1:12" x14ac:dyDescent="0.3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 t="str">
        <f t="shared" si="2"/>
        <v>100%</v>
      </c>
      <c r="G23" s="7"/>
      <c r="H23" s="81">
        <v>1008</v>
      </c>
      <c r="I23" s="81">
        <v>42</v>
      </c>
      <c r="J23" s="47">
        <v>5.486111111111111E-2</v>
      </c>
      <c r="K23" s="48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126</v>
      </c>
      <c r="D24" s="5"/>
      <c r="E24" s="5" t="s">
        <v>126</v>
      </c>
      <c r="F24" s="30" t="str">
        <f t="shared" si="2"/>
        <v>50%</v>
      </c>
      <c r="G24" s="7"/>
      <c r="H24" s="81">
        <v>1009</v>
      </c>
      <c r="I24" s="81">
        <v>44</v>
      </c>
      <c r="J24" s="47">
        <v>5.6250000000000001E-2</v>
      </c>
      <c r="K24" s="48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49" t="s">
        <v>531</v>
      </c>
      <c r="L26" s="49"/>
    </row>
    <row r="27" spans="1:12" x14ac:dyDescent="0.3">
      <c r="A27" s="50" t="s">
        <v>532</v>
      </c>
      <c r="B27" s="50" t="s">
        <v>533</v>
      </c>
      <c r="C27" s="50" t="s">
        <v>534</v>
      </c>
      <c r="D27" s="7"/>
      <c r="E27" s="7"/>
      <c r="F27" s="7"/>
      <c r="G27" s="7"/>
      <c r="H27" s="84" t="s">
        <v>338</v>
      </c>
      <c r="I27" s="84" t="s">
        <v>536</v>
      </c>
      <c r="J27" s="84" t="s">
        <v>537</v>
      </c>
      <c r="K27" s="84" t="s">
        <v>538</v>
      </c>
      <c r="L27" s="7"/>
    </row>
    <row r="28" spans="1:12" x14ac:dyDescent="0.3">
      <c r="A28" s="52" t="s">
        <v>539</v>
      </c>
      <c r="B28" s="53" t="s">
        <v>540</v>
      </c>
      <c r="C28" s="54">
        <v>193908</v>
      </c>
      <c r="D28" s="7"/>
      <c r="E28" s="7"/>
      <c r="F28" s="7"/>
      <c r="G28" s="7"/>
      <c r="H28" s="84" t="s">
        <v>541</v>
      </c>
      <c r="I28" s="84"/>
      <c r="J28" s="84" t="s">
        <v>542</v>
      </c>
      <c r="K28" s="81" t="s">
        <v>542</v>
      </c>
      <c r="L28" s="7"/>
    </row>
    <row r="29" spans="1:12" x14ac:dyDescent="0.3">
      <c r="A29" s="52" t="s">
        <v>543</v>
      </c>
      <c r="B29" s="81" t="s">
        <v>544</v>
      </c>
      <c r="C29" s="54"/>
      <c r="D29" s="7"/>
      <c r="E29" s="7"/>
      <c r="F29" s="7"/>
      <c r="G29" s="7"/>
      <c r="H29" s="84" t="s">
        <v>545</v>
      </c>
      <c r="I29" s="84"/>
      <c r="J29" s="84"/>
      <c r="K29" s="81"/>
      <c r="L29" s="7"/>
    </row>
    <row r="30" spans="1:12" x14ac:dyDescent="0.3">
      <c r="A30" s="52" t="s">
        <v>546</v>
      </c>
      <c r="B30" s="81" t="s">
        <v>547</v>
      </c>
      <c r="C30" s="54"/>
      <c r="D30" s="7"/>
      <c r="E30" s="7"/>
      <c r="F30" s="7"/>
      <c r="G30" s="7"/>
      <c r="H30" s="84" t="s">
        <v>548</v>
      </c>
      <c r="I30" s="84" t="s">
        <v>542</v>
      </c>
      <c r="J30" s="84"/>
      <c r="K30" s="81"/>
      <c r="L30" s="7"/>
    </row>
    <row r="31" spans="1:12" x14ac:dyDescent="0.3">
      <c r="A31" s="52" t="s">
        <v>549</v>
      </c>
      <c r="B31" s="81" t="s">
        <v>550</v>
      </c>
      <c r="C31" s="54">
        <v>2697000</v>
      </c>
      <c r="D31" s="7"/>
      <c r="E31" s="7"/>
      <c r="F31" s="7"/>
      <c r="G31" s="7"/>
      <c r="H31" s="84" t="s">
        <v>551</v>
      </c>
      <c r="I31" s="84"/>
      <c r="J31" s="84"/>
      <c r="K31" s="81" t="s">
        <v>542</v>
      </c>
      <c r="L31" s="7"/>
    </row>
    <row r="32" spans="1:12" x14ac:dyDescent="0.3">
      <c r="A32" s="52" t="s">
        <v>552</v>
      </c>
      <c r="B32" s="81" t="s">
        <v>553</v>
      </c>
      <c r="C32" s="54"/>
      <c r="D32" s="7"/>
      <c r="E32" s="7"/>
      <c r="F32" s="7"/>
      <c r="G32" s="7"/>
      <c r="H32" s="84" t="s">
        <v>554</v>
      </c>
      <c r="I32" s="84" t="s">
        <v>542</v>
      </c>
      <c r="J32" s="84"/>
      <c r="K32" s="81"/>
      <c r="L32" s="7"/>
    </row>
    <row r="33" spans="1:12" x14ac:dyDescent="0.3">
      <c r="A33" s="52" t="s">
        <v>555</v>
      </c>
      <c r="B33" s="81" t="s">
        <v>556</v>
      </c>
      <c r="C33" s="54">
        <v>5000000</v>
      </c>
      <c r="D33" s="7"/>
      <c r="E33" s="7"/>
      <c r="F33" s="7"/>
      <c r="G33" s="7"/>
      <c r="H33" s="84" t="s">
        <v>557</v>
      </c>
      <c r="I33" s="84"/>
      <c r="J33" s="84"/>
      <c r="K33" s="81"/>
      <c r="L33" s="7"/>
    </row>
    <row r="34" spans="1:12" x14ac:dyDescent="0.3">
      <c r="A34" s="145" t="s">
        <v>558</v>
      </c>
      <c r="B34" s="145"/>
      <c r="C34" s="84" t="str">
        <f>COUNT(C28:C33)&amp;"건"</f>
        <v>3건</v>
      </c>
      <c r="D34" s="7"/>
      <c r="E34" s="7"/>
      <c r="F34" s="7"/>
      <c r="G34" s="7"/>
      <c r="H34" s="55" t="s">
        <v>559</v>
      </c>
      <c r="I34" s="55" t="s">
        <v>542</v>
      </c>
      <c r="J34" s="55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6" t="s">
        <v>560</v>
      </c>
      <c r="I36" s="147"/>
      <c r="J36" s="81" t="str">
        <f>COUNTBLANK(I28:K34)&amp;"회"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 x14ac:dyDescent="0.3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5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 x14ac:dyDescent="0.3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1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 x14ac:dyDescent="0.3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1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 x14ac:dyDescent="0.3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1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 x14ac:dyDescent="0.3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1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 x14ac:dyDescent="0.3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1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 x14ac:dyDescent="0.3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1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 x14ac:dyDescent="0.3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1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 x14ac:dyDescent="0.3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1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 x14ac:dyDescent="0.3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1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 x14ac:dyDescent="0.3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1" t="str">
        <f t="shared" si="1"/>
        <v/>
      </c>
      <c r="G12" s="7"/>
      <c r="H12" s="129" t="s">
        <v>506</v>
      </c>
      <c r="I12" s="130"/>
      <c r="J12" s="130"/>
      <c r="K12" s="131"/>
      <c r="L12" s="94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 x14ac:dyDescent="0.3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5" t="s">
        <v>514</v>
      </c>
      <c r="G15" s="7"/>
      <c r="H15" s="2" t="s">
        <v>515</v>
      </c>
      <c r="I15" s="2" t="s">
        <v>516</v>
      </c>
      <c r="J15" s="2" t="s">
        <v>517</v>
      </c>
      <c r="K15" s="85" t="s">
        <v>518</v>
      </c>
      <c r="L15" s="7"/>
    </row>
    <row r="16" spans="1:12" x14ac:dyDescent="0.3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5" t="str">
        <f>CHOOSE(COUNTA(B16:E16),"25%","50%","75%","100%")</f>
        <v>75%</v>
      </c>
      <c r="G16" s="7"/>
      <c r="H16" s="2">
        <v>1001</v>
      </c>
      <c r="I16" s="2">
        <v>29</v>
      </c>
      <c r="J16" s="47">
        <v>4.7222222222222221E-2</v>
      </c>
      <c r="K16" s="96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5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7">
        <v>6.3888888888888884E-2</v>
      </c>
      <c r="K17" s="96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5" t="str">
        <f t="shared" si="2"/>
        <v>100%</v>
      </c>
      <c r="G18" s="7"/>
      <c r="H18" s="2">
        <v>1003</v>
      </c>
      <c r="I18" s="2">
        <v>52</v>
      </c>
      <c r="J18" s="47">
        <v>5.8333333333333327E-2</v>
      </c>
      <c r="K18" s="96" t="str">
        <f t="shared" si="3"/>
        <v/>
      </c>
      <c r="L18" s="7"/>
    </row>
    <row r="19" spans="1:12" x14ac:dyDescent="0.3">
      <c r="A19" s="5" t="s">
        <v>523</v>
      </c>
      <c r="B19" s="5" t="s">
        <v>154</v>
      </c>
      <c r="C19" s="5"/>
      <c r="D19" s="5" t="s">
        <v>154</v>
      </c>
      <c r="E19" s="5"/>
      <c r="F19" s="95" t="str">
        <f t="shared" si="2"/>
        <v>50%</v>
      </c>
      <c r="G19" s="7"/>
      <c r="H19" s="2">
        <v>1004</v>
      </c>
      <c r="I19" s="2">
        <v>35</v>
      </c>
      <c r="J19" s="47">
        <v>5.6250000000000001E-2</v>
      </c>
      <c r="K19" s="96" t="str">
        <f t="shared" si="3"/>
        <v/>
      </c>
      <c r="L19" s="7"/>
    </row>
    <row r="20" spans="1:12" x14ac:dyDescent="0.3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5" t="str">
        <f t="shared" si="2"/>
        <v>75%</v>
      </c>
      <c r="G20" s="7"/>
      <c r="H20" s="2">
        <v>1005</v>
      </c>
      <c r="I20" s="2">
        <v>31</v>
      </c>
      <c r="J20" s="47">
        <v>4.3750000000000004E-2</v>
      </c>
      <c r="K20" s="96" t="str">
        <f t="shared" si="3"/>
        <v>입상</v>
      </c>
      <c r="L20" s="7"/>
    </row>
    <row r="21" spans="1:12" x14ac:dyDescent="0.3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5" t="str">
        <f t="shared" si="2"/>
        <v>75%</v>
      </c>
      <c r="G21" s="7"/>
      <c r="H21" s="2">
        <v>1006</v>
      </c>
      <c r="I21" s="2">
        <v>34</v>
      </c>
      <c r="J21" s="47">
        <v>5.2083333333333336E-2</v>
      </c>
      <c r="K21" s="96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154</v>
      </c>
      <c r="D22" s="5"/>
      <c r="E22" s="5"/>
      <c r="F22" s="95" t="str">
        <f t="shared" si="2"/>
        <v>25%</v>
      </c>
      <c r="G22" s="7"/>
      <c r="H22" s="2">
        <v>1007</v>
      </c>
      <c r="I22" s="2">
        <v>28</v>
      </c>
      <c r="J22" s="47">
        <v>5.9722222222222225E-2</v>
      </c>
      <c r="K22" s="96" t="str">
        <f t="shared" si="3"/>
        <v/>
      </c>
      <c r="L22" s="7"/>
    </row>
    <row r="23" spans="1:12" x14ac:dyDescent="0.3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5" t="str">
        <f t="shared" si="2"/>
        <v>100%</v>
      </c>
      <c r="G23" s="7"/>
      <c r="H23" s="2">
        <v>1008</v>
      </c>
      <c r="I23" s="2">
        <v>42</v>
      </c>
      <c r="J23" s="47">
        <v>5.486111111111111E-2</v>
      </c>
      <c r="K23" s="96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154</v>
      </c>
      <c r="D24" s="5"/>
      <c r="E24" s="5" t="s">
        <v>154</v>
      </c>
      <c r="F24" s="95" t="str">
        <f t="shared" si="2"/>
        <v>50%</v>
      </c>
      <c r="G24" s="7"/>
      <c r="H24" s="2">
        <v>1009</v>
      </c>
      <c r="I24" s="2">
        <v>44</v>
      </c>
      <c r="J24" s="47">
        <v>5.6250000000000001E-2</v>
      </c>
      <c r="K24" s="96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49" t="s">
        <v>531</v>
      </c>
      <c r="L26" s="49"/>
    </row>
    <row r="27" spans="1:12" x14ac:dyDescent="0.3">
      <c r="A27" s="50" t="s">
        <v>532</v>
      </c>
      <c r="B27" s="50" t="s">
        <v>533</v>
      </c>
      <c r="C27" s="50" t="s">
        <v>534</v>
      </c>
      <c r="D27" s="7"/>
      <c r="E27" s="7"/>
      <c r="F27" s="7"/>
      <c r="G27" s="7"/>
      <c r="H27" s="51" t="s">
        <v>535</v>
      </c>
      <c r="I27" s="51" t="s">
        <v>536</v>
      </c>
      <c r="J27" s="51" t="s">
        <v>537</v>
      </c>
      <c r="K27" s="51" t="s">
        <v>538</v>
      </c>
      <c r="L27" s="7"/>
    </row>
    <row r="28" spans="1:12" x14ac:dyDescent="0.3">
      <c r="A28" s="52" t="s">
        <v>539</v>
      </c>
      <c r="B28" s="53" t="s">
        <v>540</v>
      </c>
      <c r="C28" s="54">
        <v>193908</v>
      </c>
      <c r="D28" s="7"/>
      <c r="E28" s="7"/>
      <c r="F28" s="7"/>
      <c r="G28" s="7"/>
      <c r="H28" s="51" t="s">
        <v>541</v>
      </c>
      <c r="I28" s="51"/>
      <c r="J28" s="51" t="s">
        <v>542</v>
      </c>
      <c r="K28" s="2" t="s">
        <v>542</v>
      </c>
      <c r="L28" s="7"/>
    </row>
    <row r="29" spans="1:12" x14ac:dyDescent="0.3">
      <c r="A29" s="52" t="s">
        <v>543</v>
      </c>
      <c r="B29" s="2" t="s">
        <v>544</v>
      </c>
      <c r="C29" s="54"/>
      <c r="D29" s="7"/>
      <c r="E29" s="7"/>
      <c r="F29" s="7"/>
      <c r="G29" s="7"/>
      <c r="H29" s="51" t="s">
        <v>545</v>
      </c>
      <c r="I29" s="51"/>
      <c r="J29" s="51"/>
      <c r="K29" s="2"/>
      <c r="L29" s="7"/>
    </row>
    <row r="30" spans="1:12" x14ac:dyDescent="0.3">
      <c r="A30" s="52" t="s">
        <v>546</v>
      </c>
      <c r="B30" s="2" t="s">
        <v>547</v>
      </c>
      <c r="C30" s="54"/>
      <c r="D30" s="7"/>
      <c r="E30" s="7"/>
      <c r="F30" s="7"/>
      <c r="G30" s="7"/>
      <c r="H30" s="51" t="s">
        <v>548</v>
      </c>
      <c r="I30" s="51" t="s">
        <v>542</v>
      </c>
      <c r="J30" s="51"/>
      <c r="K30" s="2"/>
      <c r="L30" s="7"/>
    </row>
    <row r="31" spans="1:12" x14ac:dyDescent="0.3">
      <c r="A31" s="52" t="s">
        <v>549</v>
      </c>
      <c r="B31" s="2" t="s">
        <v>550</v>
      </c>
      <c r="C31" s="54">
        <v>2697000</v>
      </c>
      <c r="D31" s="7"/>
      <c r="E31" s="7"/>
      <c r="F31" s="7"/>
      <c r="G31" s="7"/>
      <c r="H31" s="51" t="s">
        <v>551</v>
      </c>
      <c r="I31" s="51"/>
      <c r="J31" s="51"/>
      <c r="K31" s="2" t="s">
        <v>542</v>
      </c>
      <c r="L31" s="7"/>
    </row>
    <row r="32" spans="1:12" x14ac:dyDescent="0.3">
      <c r="A32" s="52" t="s">
        <v>552</v>
      </c>
      <c r="B32" s="2" t="s">
        <v>553</v>
      </c>
      <c r="C32" s="54"/>
      <c r="D32" s="7"/>
      <c r="E32" s="7"/>
      <c r="F32" s="7"/>
      <c r="G32" s="7"/>
      <c r="H32" s="51" t="s">
        <v>554</v>
      </c>
      <c r="I32" s="51" t="s">
        <v>542</v>
      </c>
      <c r="J32" s="51"/>
      <c r="K32" s="2"/>
      <c r="L32" s="7"/>
    </row>
    <row r="33" spans="1:12" x14ac:dyDescent="0.3">
      <c r="A33" s="52" t="s">
        <v>555</v>
      </c>
      <c r="B33" s="2" t="s">
        <v>556</v>
      </c>
      <c r="C33" s="54">
        <v>5000000</v>
      </c>
      <c r="D33" s="7"/>
      <c r="E33" s="7"/>
      <c r="F33" s="7"/>
      <c r="G33" s="7"/>
      <c r="H33" s="51" t="s">
        <v>557</v>
      </c>
      <c r="I33" s="51"/>
      <c r="J33" s="51"/>
      <c r="K33" s="2"/>
      <c r="L33" s="7"/>
    </row>
    <row r="34" spans="1:12" x14ac:dyDescent="0.3">
      <c r="A34" s="145" t="s">
        <v>558</v>
      </c>
      <c r="B34" s="145"/>
      <c r="C34" s="97" t="str">
        <f>COUNT(C28:C33)&amp;"건"</f>
        <v>3건</v>
      </c>
      <c r="D34" s="7"/>
      <c r="E34" s="7"/>
      <c r="F34" s="7"/>
      <c r="G34" s="7"/>
      <c r="H34" s="55" t="s">
        <v>559</v>
      </c>
      <c r="I34" s="55" t="s">
        <v>542</v>
      </c>
      <c r="J34" s="55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6" t="s">
        <v>560</v>
      </c>
      <c r="I36" s="147"/>
      <c r="J36" s="91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topLeftCell="D8" zoomScale="175" zoomScaleNormal="175" workbookViewId="0">
      <selection activeCell="J15" sqref="J15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8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3"/>
      <c r="C1" s="43"/>
      <c r="D1" s="43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81" t="s">
        <v>563</v>
      </c>
      <c r="B2" s="81" t="s">
        <v>400</v>
      </c>
      <c r="C2" s="81" t="s">
        <v>565</v>
      </c>
      <c r="D2" s="86" t="s">
        <v>566</v>
      </c>
      <c r="E2" s="26"/>
      <c r="F2" s="81" t="s">
        <v>250</v>
      </c>
      <c r="G2" s="81" t="s">
        <v>567</v>
      </c>
      <c r="H2" s="81" t="s">
        <v>568</v>
      </c>
      <c r="I2" s="86" t="s">
        <v>252</v>
      </c>
      <c r="J2" s="26"/>
      <c r="K2" s="26"/>
      <c r="L2" s="26"/>
    </row>
    <row r="3" spans="1:12" x14ac:dyDescent="0.3">
      <c r="A3" s="56" t="s">
        <v>570</v>
      </c>
      <c r="B3" s="81" t="s">
        <v>571</v>
      </c>
      <c r="C3" s="81" t="s">
        <v>572</v>
      </c>
      <c r="D3" s="81" t="str">
        <f>CHOOSE(MID(C3,8,1),"남","여","남","여")</f>
        <v>여</v>
      </c>
      <c r="E3" s="26"/>
      <c r="F3" s="81" t="s">
        <v>573</v>
      </c>
      <c r="G3" s="81">
        <v>5</v>
      </c>
      <c r="H3" s="83">
        <v>2310000</v>
      </c>
      <c r="I3" s="81" t="str">
        <f>VLOOKUP(H3,$K$7:$L$10,2)</f>
        <v>일반</v>
      </c>
      <c r="J3" s="26"/>
      <c r="K3" s="26"/>
      <c r="L3" s="26"/>
    </row>
    <row r="4" spans="1:12" x14ac:dyDescent="0.3">
      <c r="A4" s="56" t="s">
        <v>574</v>
      </c>
      <c r="B4" s="81" t="s">
        <v>575</v>
      </c>
      <c r="C4" s="81" t="s">
        <v>576</v>
      </c>
      <c r="D4" s="119" t="str">
        <f t="shared" ref="D4:D10" si="0">CHOOSE(MID(C4,8,1),"남","여","남","여")</f>
        <v>여</v>
      </c>
      <c r="E4" s="26"/>
      <c r="F4" s="81" t="s">
        <v>577</v>
      </c>
      <c r="G4" s="81">
        <v>4</v>
      </c>
      <c r="H4" s="83">
        <v>3564000</v>
      </c>
      <c r="I4" s="119" t="str">
        <f t="shared" ref="I4:I10" si="1">VLOOKUP(H4,$K$7:$L$10,2)</f>
        <v>실버</v>
      </c>
      <c r="J4" s="26"/>
      <c r="K4" s="26"/>
      <c r="L4" s="26"/>
    </row>
    <row r="5" spans="1:12" x14ac:dyDescent="0.3">
      <c r="A5" s="56" t="s">
        <v>578</v>
      </c>
      <c r="B5" s="81" t="s">
        <v>579</v>
      </c>
      <c r="C5" s="81" t="s">
        <v>580</v>
      </c>
      <c r="D5" s="119" t="str">
        <f t="shared" si="0"/>
        <v>남</v>
      </c>
      <c r="E5" s="26"/>
      <c r="F5" s="81" t="s">
        <v>581</v>
      </c>
      <c r="G5" s="81">
        <v>3</v>
      </c>
      <c r="H5" s="83">
        <v>1200000</v>
      </c>
      <c r="I5" s="119" t="str">
        <f t="shared" si="1"/>
        <v>일반</v>
      </c>
      <c r="J5" s="26"/>
      <c r="K5" s="148" t="s">
        <v>582</v>
      </c>
      <c r="L5" s="148"/>
    </row>
    <row r="6" spans="1:12" x14ac:dyDescent="0.3">
      <c r="A6" s="56" t="s">
        <v>583</v>
      </c>
      <c r="B6" s="81" t="s">
        <v>584</v>
      </c>
      <c r="C6" s="81" t="s">
        <v>585</v>
      </c>
      <c r="D6" s="119" t="str">
        <f t="shared" si="0"/>
        <v>남</v>
      </c>
      <c r="E6" s="26"/>
      <c r="F6" s="81" t="s">
        <v>586</v>
      </c>
      <c r="G6" s="81">
        <v>7</v>
      </c>
      <c r="H6" s="83">
        <v>3756000</v>
      </c>
      <c r="I6" s="119" t="str">
        <f t="shared" si="1"/>
        <v>실버</v>
      </c>
      <c r="J6" s="26"/>
      <c r="K6" s="81" t="s">
        <v>587</v>
      </c>
      <c r="L6" s="81" t="s">
        <v>252</v>
      </c>
    </row>
    <row r="7" spans="1:12" x14ac:dyDescent="0.3">
      <c r="A7" s="56" t="s">
        <v>589</v>
      </c>
      <c r="B7" s="81" t="s">
        <v>590</v>
      </c>
      <c r="C7" s="82" t="s">
        <v>591</v>
      </c>
      <c r="D7" s="119" t="str">
        <f t="shared" si="0"/>
        <v>남</v>
      </c>
      <c r="E7" s="26"/>
      <c r="F7" s="81" t="s">
        <v>592</v>
      </c>
      <c r="G7" s="81">
        <v>9</v>
      </c>
      <c r="H7" s="83">
        <v>5550000</v>
      </c>
      <c r="I7" s="119" t="str">
        <f t="shared" si="1"/>
        <v>골드</v>
      </c>
      <c r="J7" s="26"/>
      <c r="K7" s="83">
        <v>1000000</v>
      </c>
      <c r="L7" s="81" t="s">
        <v>268</v>
      </c>
    </row>
    <row r="8" spans="1:12" x14ac:dyDescent="0.3">
      <c r="A8" s="56" t="s">
        <v>594</v>
      </c>
      <c r="B8" s="81" t="s">
        <v>595</v>
      </c>
      <c r="C8" s="81" t="s">
        <v>596</v>
      </c>
      <c r="D8" s="119" t="str">
        <f t="shared" si="0"/>
        <v>남</v>
      </c>
      <c r="E8" s="26"/>
      <c r="F8" s="81" t="s">
        <v>384</v>
      </c>
      <c r="G8" s="81">
        <v>11</v>
      </c>
      <c r="H8" s="83">
        <v>7542000</v>
      </c>
      <c r="I8" s="119" t="str">
        <f t="shared" si="1"/>
        <v>VIP</v>
      </c>
      <c r="J8" s="26"/>
      <c r="K8" s="83">
        <v>3000000</v>
      </c>
      <c r="L8" s="81" t="s">
        <v>597</v>
      </c>
    </row>
    <row r="9" spans="1:12" x14ac:dyDescent="0.3">
      <c r="A9" s="56" t="s">
        <v>598</v>
      </c>
      <c r="B9" s="81" t="s">
        <v>599</v>
      </c>
      <c r="C9" s="81" t="s">
        <v>600</v>
      </c>
      <c r="D9" s="119" t="str">
        <f t="shared" si="0"/>
        <v>여</v>
      </c>
      <c r="E9" s="26"/>
      <c r="F9" s="81" t="s">
        <v>601</v>
      </c>
      <c r="G9" s="81">
        <v>8</v>
      </c>
      <c r="H9" s="83">
        <v>4685000</v>
      </c>
      <c r="I9" s="119" t="str">
        <f t="shared" si="1"/>
        <v>실버</v>
      </c>
      <c r="J9" s="26"/>
      <c r="K9" s="83">
        <v>5000000</v>
      </c>
      <c r="L9" s="81" t="s">
        <v>262</v>
      </c>
    </row>
    <row r="10" spans="1:12" x14ac:dyDescent="0.3">
      <c r="A10" s="56" t="s">
        <v>602</v>
      </c>
      <c r="B10" s="81" t="s">
        <v>603</v>
      </c>
      <c r="C10" s="81" t="s">
        <v>604</v>
      </c>
      <c r="D10" s="119" t="str">
        <f t="shared" si="0"/>
        <v>남</v>
      </c>
      <c r="E10" s="26"/>
      <c r="F10" s="81" t="s">
        <v>605</v>
      </c>
      <c r="G10" s="81">
        <v>10</v>
      </c>
      <c r="H10" s="83">
        <v>4112000</v>
      </c>
      <c r="I10" s="119" t="str">
        <f t="shared" si="1"/>
        <v>실버</v>
      </c>
      <c r="J10" s="26"/>
      <c r="K10" s="83">
        <v>7000000</v>
      </c>
      <c r="L10" s="81" t="s">
        <v>282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58"/>
      <c r="I11" s="14"/>
      <c r="J11" s="26"/>
      <c r="K11" s="58"/>
      <c r="L11" s="14"/>
    </row>
    <row r="12" spans="1:12" x14ac:dyDescent="0.3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81" t="s">
        <v>610</v>
      </c>
      <c r="B13" s="81" t="s">
        <v>611</v>
      </c>
      <c r="C13" s="81" t="s">
        <v>76</v>
      </c>
      <c r="D13" s="86" t="s">
        <v>77</v>
      </c>
      <c r="E13" s="26"/>
      <c r="F13" s="81" t="s">
        <v>75</v>
      </c>
      <c r="G13" s="81" t="s">
        <v>614</v>
      </c>
      <c r="H13" s="81" t="s">
        <v>482</v>
      </c>
      <c r="I13" s="81" t="s">
        <v>616</v>
      </c>
      <c r="J13" s="86" t="s">
        <v>617</v>
      </c>
      <c r="K13" s="26"/>
      <c r="L13" s="26"/>
    </row>
    <row r="14" spans="1:12" x14ac:dyDescent="0.3">
      <c r="A14" s="81" t="s">
        <v>618</v>
      </c>
      <c r="B14" s="81" t="s">
        <v>619</v>
      </c>
      <c r="C14" s="30">
        <v>315</v>
      </c>
      <c r="D14" s="28">
        <f>C14*INDEX($B$26:$D$27,2,MATCH(A14,$B$25:$D$25,0))</f>
        <v>8032500</v>
      </c>
      <c r="E14" s="26"/>
      <c r="F14" s="81" t="s">
        <v>620</v>
      </c>
      <c r="G14" s="81" t="s">
        <v>368</v>
      </c>
      <c r="H14" s="81" t="s">
        <v>369</v>
      </c>
      <c r="I14" s="28">
        <v>500000</v>
      </c>
      <c r="J14" s="28">
        <f>HLOOKUP(H14,$G$25:$J$27,2,0)+HLOOKUP(H14,$G$25:$J$27,3,0)+I14</f>
        <v>4180000</v>
      </c>
      <c r="K14" s="26"/>
      <c r="L14" s="26"/>
    </row>
    <row r="15" spans="1:12" x14ac:dyDescent="0.3">
      <c r="A15" s="81" t="s">
        <v>618</v>
      </c>
      <c r="B15" s="81" t="s">
        <v>623</v>
      </c>
      <c r="C15" s="30">
        <v>294</v>
      </c>
      <c r="D15" s="28">
        <f t="shared" ref="D15:D22" si="2">C15*INDEX($B$26:$D$27,2,MATCH(A15,$B$25:$D$25,0))</f>
        <v>7497000</v>
      </c>
      <c r="E15" s="26"/>
      <c r="F15" s="81" t="s">
        <v>624</v>
      </c>
      <c r="G15" s="81" t="s">
        <v>625</v>
      </c>
      <c r="H15" s="81" t="s">
        <v>232</v>
      </c>
      <c r="I15" s="28">
        <v>300000</v>
      </c>
      <c r="J15" s="28">
        <f t="shared" ref="J15:J22" si="3">HLOOKUP(H15,$G$25:$J$27,2,0)+HLOOKUP(H15,$G$25:$J$27,3,0)+I15</f>
        <v>2820000</v>
      </c>
      <c r="K15" s="26"/>
      <c r="L15" s="26"/>
    </row>
    <row r="16" spans="1:12" x14ac:dyDescent="0.3">
      <c r="A16" s="81" t="s">
        <v>618</v>
      </c>
      <c r="B16" s="81" t="s">
        <v>619</v>
      </c>
      <c r="C16" s="30">
        <v>357</v>
      </c>
      <c r="D16" s="28">
        <f t="shared" si="2"/>
        <v>9103500</v>
      </c>
      <c r="E16" s="26"/>
      <c r="F16" s="81" t="s">
        <v>627</v>
      </c>
      <c r="G16" s="81" t="s">
        <v>628</v>
      </c>
      <c r="H16" s="81" t="s">
        <v>238</v>
      </c>
      <c r="I16" s="28">
        <v>250000</v>
      </c>
      <c r="J16" s="28">
        <f t="shared" si="3"/>
        <v>2150000</v>
      </c>
      <c r="K16" s="26"/>
      <c r="L16" s="26"/>
    </row>
    <row r="17" spans="1:12" x14ac:dyDescent="0.3">
      <c r="A17" s="81" t="s">
        <v>630</v>
      </c>
      <c r="B17" s="81" t="s">
        <v>623</v>
      </c>
      <c r="C17" s="30">
        <v>248</v>
      </c>
      <c r="D17" s="28">
        <f t="shared" si="2"/>
        <v>6851000</v>
      </c>
      <c r="E17" s="26"/>
      <c r="F17" s="81" t="s">
        <v>632</v>
      </c>
      <c r="G17" s="81" t="s">
        <v>368</v>
      </c>
      <c r="H17" s="81" t="s">
        <v>232</v>
      </c>
      <c r="I17" s="28">
        <v>300000</v>
      </c>
      <c r="J17" s="28">
        <f t="shared" si="3"/>
        <v>2820000</v>
      </c>
      <c r="K17" s="26"/>
      <c r="L17" s="26"/>
    </row>
    <row r="18" spans="1:12" x14ac:dyDescent="0.3">
      <c r="A18" s="81" t="s">
        <v>630</v>
      </c>
      <c r="B18" s="81" t="s">
        <v>635</v>
      </c>
      <c r="C18" s="30">
        <v>323</v>
      </c>
      <c r="D18" s="28">
        <f t="shared" si="2"/>
        <v>8922875</v>
      </c>
      <c r="E18" s="26"/>
      <c r="F18" s="81" t="s">
        <v>636</v>
      </c>
      <c r="G18" s="81" t="s">
        <v>625</v>
      </c>
      <c r="H18" s="81" t="s">
        <v>238</v>
      </c>
      <c r="I18" s="28">
        <v>250000</v>
      </c>
      <c r="J18" s="28">
        <f t="shared" si="3"/>
        <v>2150000</v>
      </c>
      <c r="K18" s="26"/>
      <c r="L18" s="26"/>
    </row>
    <row r="19" spans="1:12" x14ac:dyDescent="0.3">
      <c r="A19" s="81" t="s">
        <v>630</v>
      </c>
      <c r="B19" s="81" t="s">
        <v>623</v>
      </c>
      <c r="C19" s="30">
        <v>355</v>
      </c>
      <c r="D19" s="28">
        <f t="shared" si="2"/>
        <v>9806875</v>
      </c>
      <c r="E19" s="26"/>
      <c r="F19" s="81" t="s">
        <v>641</v>
      </c>
      <c r="G19" s="81" t="s">
        <v>137</v>
      </c>
      <c r="H19" s="81" t="s">
        <v>224</v>
      </c>
      <c r="I19" s="28">
        <v>400000</v>
      </c>
      <c r="J19" s="28">
        <f t="shared" si="3"/>
        <v>3550000</v>
      </c>
      <c r="K19" s="26"/>
      <c r="L19" s="26"/>
    </row>
    <row r="20" spans="1:12" x14ac:dyDescent="0.3">
      <c r="A20" s="81" t="s">
        <v>643</v>
      </c>
      <c r="B20" s="81" t="s">
        <v>619</v>
      </c>
      <c r="C20" s="30">
        <v>385</v>
      </c>
      <c r="D20" s="28">
        <f t="shared" si="2"/>
        <v>11365200</v>
      </c>
      <c r="E20" s="26"/>
      <c r="F20" s="81" t="s">
        <v>645</v>
      </c>
      <c r="G20" s="81" t="s">
        <v>625</v>
      </c>
      <c r="H20" s="81" t="s">
        <v>238</v>
      </c>
      <c r="I20" s="28">
        <v>250000</v>
      </c>
      <c r="J20" s="28">
        <f t="shared" si="3"/>
        <v>2150000</v>
      </c>
      <c r="K20" s="26"/>
      <c r="L20" s="26"/>
    </row>
    <row r="21" spans="1:12" x14ac:dyDescent="0.3">
      <c r="A21" s="81" t="s">
        <v>643</v>
      </c>
      <c r="B21" s="81" t="s">
        <v>623</v>
      </c>
      <c r="C21" s="30">
        <v>366</v>
      </c>
      <c r="D21" s="28">
        <f t="shared" si="2"/>
        <v>10804320</v>
      </c>
      <c r="E21" s="26"/>
      <c r="F21" s="81" t="s">
        <v>648</v>
      </c>
      <c r="G21" s="81" t="s">
        <v>137</v>
      </c>
      <c r="H21" s="81" t="s">
        <v>369</v>
      </c>
      <c r="I21" s="28">
        <v>500000</v>
      </c>
      <c r="J21" s="28">
        <f t="shared" si="3"/>
        <v>4180000</v>
      </c>
      <c r="K21" s="26"/>
      <c r="L21" s="26"/>
    </row>
    <row r="22" spans="1:12" x14ac:dyDescent="0.3">
      <c r="A22" s="81" t="s">
        <v>643</v>
      </c>
      <c r="B22" s="81" t="s">
        <v>635</v>
      </c>
      <c r="C22" s="30">
        <v>374</v>
      </c>
      <c r="D22" s="28">
        <f t="shared" si="2"/>
        <v>11040480</v>
      </c>
      <c r="E22" s="26"/>
      <c r="F22" s="81" t="s">
        <v>652</v>
      </c>
      <c r="G22" s="81" t="s">
        <v>368</v>
      </c>
      <c r="H22" s="81" t="s">
        <v>232</v>
      </c>
      <c r="I22" s="28">
        <v>300000</v>
      </c>
      <c r="J22" s="28">
        <f t="shared" si="3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81" t="s">
        <v>610</v>
      </c>
      <c r="B25" s="81" t="s">
        <v>618</v>
      </c>
      <c r="C25" s="81" t="s">
        <v>630</v>
      </c>
      <c r="D25" s="81" t="s">
        <v>643</v>
      </c>
      <c r="E25" s="26"/>
      <c r="F25" s="81" t="s">
        <v>482</v>
      </c>
      <c r="G25" s="81" t="s">
        <v>238</v>
      </c>
      <c r="H25" s="81" t="s">
        <v>232</v>
      </c>
      <c r="I25" s="81" t="s">
        <v>224</v>
      </c>
      <c r="J25" s="81" t="s">
        <v>369</v>
      </c>
      <c r="K25" s="26"/>
      <c r="L25" s="26"/>
    </row>
    <row r="26" spans="1:12" x14ac:dyDescent="0.3">
      <c r="A26" s="81" t="s">
        <v>123</v>
      </c>
      <c r="B26" s="83">
        <v>30000</v>
      </c>
      <c r="C26" s="83">
        <v>32500</v>
      </c>
      <c r="D26" s="83">
        <v>36000</v>
      </c>
      <c r="E26" s="26"/>
      <c r="F26" s="81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1" t="s">
        <v>661</v>
      </c>
      <c r="B27" s="83">
        <v>25500</v>
      </c>
      <c r="C27" s="83">
        <v>27625</v>
      </c>
      <c r="D27" s="83">
        <v>29520</v>
      </c>
      <c r="E27" s="26"/>
      <c r="F27" s="81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214</v>
      </c>
      <c r="B1" s="43"/>
      <c r="C1" s="43"/>
      <c r="D1" s="43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2" t="s">
        <v>563</v>
      </c>
      <c r="B2" s="2" t="s">
        <v>564</v>
      </c>
      <c r="C2" s="2" t="s">
        <v>565</v>
      </c>
      <c r="D2" s="85" t="s">
        <v>566</v>
      </c>
      <c r="E2" s="26"/>
      <c r="F2" s="2" t="s">
        <v>250</v>
      </c>
      <c r="G2" s="2" t="s">
        <v>567</v>
      </c>
      <c r="H2" s="2" t="s">
        <v>568</v>
      </c>
      <c r="I2" s="85" t="s">
        <v>569</v>
      </c>
      <c r="J2" s="26"/>
      <c r="K2" s="26"/>
      <c r="L2" s="26"/>
    </row>
    <row r="3" spans="1:12" x14ac:dyDescent="0.3">
      <c r="A3" s="56" t="s">
        <v>570</v>
      </c>
      <c r="B3" s="2" t="s">
        <v>571</v>
      </c>
      <c r="C3" s="2" t="s">
        <v>572</v>
      </c>
      <c r="D3" s="91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1" t="str">
        <f t="shared" ref="I3:I10" si="0">VLOOKUP(H3,$K$7:$L$10,2)</f>
        <v>일반</v>
      </c>
      <c r="J3" s="26"/>
      <c r="K3" s="26"/>
      <c r="L3" s="26"/>
    </row>
    <row r="4" spans="1:12" x14ac:dyDescent="0.3">
      <c r="A4" s="56" t="s">
        <v>574</v>
      </c>
      <c r="B4" s="2" t="s">
        <v>575</v>
      </c>
      <c r="C4" s="2" t="s">
        <v>576</v>
      </c>
      <c r="D4" s="91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1" t="str">
        <f t="shared" si="0"/>
        <v>실버</v>
      </c>
      <c r="J4" s="26"/>
      <c r="K4" s="26"/>
      <c r="L4" s="26"/>
    </row>
    <row r="5" spans="1:12" x14ac:dyDescent="0.3">
      <c r="A5" s="56" t="s">
        <v>578</v>
      </c>
      <c r="B5" s="2" t="s">
        <v>579</v>
      </c>
      <c r="C5" s="2" t="s">
        <v>580</v>
      </c>
      <c r="D5" s="91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1" t="str">
        <f t="shared" si="0"/>
        <v>일반</v>
      </c>
      <c r="J5" s="26"/>
      <c r="K5" s="148" t="s">
        <v>582</v>
      </c>
      <c r="L5" s="148"/>
    </row>
    <row r="6" spans="1:12" x14ac:dyDescent="0.3">
      <c r="A6" s="56" t="s">
        <v>583</v>
      </c>
      <c r="B6" s="2" t="s">
        <v>584</v>
      </c>
      <c r="C6" s="2" t="s">
        <v>585</v>
      </c>
      <c r="D6" s="91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1" t="str">
        <f t="shared" si="0"/>
        <v>실버</v>
      </c>
      <c r="J6" s="26"/>
      <c r="K6" s="2" t="s">
        <v>587</v>
      </c>
      <c r="L6" s="2" t="s">
        <v>588</v>
      </c>
    </row>
    <row r="7" spans="1:12" x14ac:dyDescent="0.3">
      <c r="A7" s="56" t="s">
        <v>589</v>
      </c>
      <c r="B7" s="2" t="s">
        <v>590</v>
      </c>
      <c r="C7" s="57" t="s">
        <v>591</v>
      </c>
      <c r="D7" s="91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1" t="str">
        <f t="shared" si="0"/>
        <v>골드</v>
      </c>
      <c r="J7" s="26"/>
      <c r="K7" s="29">
        <v>1000000</v>
      </c>
      <c r="L7" s="2" t="s">
        <v>593</v>
      </c>
    </row>
    <row r="8" spans="1:12" x14ac:dyDescent="0.3">
      <c r="A8" s="56" t="s">
        <v>594</v>
      </c>
      <c r="B8" s="2" t="s">
        <v>595</v>
      </c>
      <c r="C8" s="2" t="s">
        <v>596</v>
      </c>
      <c r="D8" s="91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1" t="str">
        <f t="shared" si="0"/>
        <v>VIP</v>
      </c>
      <c r="J8" s="26"/>
      <c r="K8" s="29">
        <v>3000000</v>
      </c>
      <c r="L8" s="2" t="s">
        <v>597</v>
      </c>
    </row>
    <row r="9" spans="1:12" x14ac:dyDescent="0.3">
      <c r="A9" s="56" t="s">
        <v>598</v>
      </c>
      <c r="B9" s="2" t="s">
        <v>599</v>
      </c>
      <c r="C9" s="2" t="s">
        <v>600</v>
      </c>
      <c r="D9" s="91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1" t="str">
        <f t="shared" si="0"/>
        <v>실버</v>
      </c>
      <c r="J9" s="26"/>
      <c r="K9" s="29">
        <v>5000000</v>
      </c>
      <c r="L9" s="2" t="s">
        <v>262</v>
      </c>
    </row>
    <row r="10" spans="1:12" x14ac:dyDescent="0.3">
      <c r="A10" s="56" t="s">
        <v>602</v>
      </c>
      <c r="B10" s="2" t="s">
        <v>603</v>
      </c>
      <c r="C10" s="2" t="s">
        <v>604</v>
      </c>
      <c r="D10" s="91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1" t="str">
        <f t="shared" si="0"/>
        <v>실버</v>
      </c>
      <c r="J10" s="26"/>
      <c r="K10" s="29">
        <v>7000000</v>
      </c>
      <c r="L10" s="2" t="s">
        <v>606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58"/>
      <c r="I11" s="14"/>
      <c r="J11" s="26"/>
      <c r="K11" s="58"/>
      <c r="L11" s="14"/>
    </row>
    <row r="12" spans="1:12" x14ac:dyDescent="0.3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2" t="s">
        <v>610</v>
      </c>
      <c r="B13" s="2" t="s">
        <v>611</v>
      </c>
      <c r="C13" s="2" t="s">
        <v>612</v>
      </c>
      <c r="D13" s="85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5" t="s">
        <v>617</v>
      </c>
      <c r="K13" s="26"/>
      <c r="L13" s="26"/>
    </row>
    <row r="14" spans="1:12" x14ac:dyDescent="0.3">
      <c r="A14" s="2" t="s">
        <v>618</v>
      </c>
      <c r="B14" s="2" t="s">
        <v>619</v>
      </c>
      <c r="C14" s="30">
        <v>315</v>
      </c>
      <c r="D14" s="98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98">
        <f t="shared" ref="J14:J22" si="2">HLOOKUP(H14,$G$25:$J$27,2,FALSE)+HLOOKUP(H14,$G$25:$J$27,3,FALSE)+I14</f>
        <v>4180000</v>
      </c>
      <c r="K14" s="26"/>
      <c r="L14" s="26"/>
    </row>
    <row r="15" spans="1:12" x14ac:dyDescent="0.3">
      <c r="A15" s="2" t="s">
        <v>622</v>
      </c>
      <c r="B15" s="2" t="s">
        <v>623</v>
      </c>
      <c r="C15" s="30">
        <v>294</v>
      </c>
      <c r="D15" s="98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98">
        <f t="shared" si="2"/>
        <v>2820000</v>
      </c>
      <c r="K15" s="26"/>
      <c r="L15" s="26"/>
    </row>
    <row r="16" spans="1:12" x14ac:dyDescent="0.3">
      <c r="A16" s="2" t="s">
        <v>626</v>
      </c>
      <c r="B16" s="2" t="s">
        <v>619</v>
      </c>
      <c r="C16" s="30">
        <v>357</v>
      </c>
      <c r="D16" s="98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98">
        <f t="shared" si="2"/>
        <v>2150000</v>
      </c>
      <c r="K16" s="26"/>
      <c r="L16" s="26"/>
    </row>
    <row r="17" spans="1:12" x14ac:dyDescent="0.3">
      <c r="A17" s="2" t="s">
        <v>630</v>
      </c>
      <c r="B17" s="2" t="s">
        <v>631</v>
      </c>
      <c r="C17" s="30">
        <v>248</v>
      </c>
      <c r="D17" s="98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98">
        <f t="shared" si="2"/>
        <v>2820000</v>
      </c>
      <c r="K17" s="26"/>
      <c r="L17" s="26"/>
    </row>
    <row r="18" spans="1:12" x14ac:dyDescent="0.3">
      <c r="A18" s="2" t="s">
        <v>634</v>
      </c>
      <c r="B18" s="2" t="s">
        <v>635</v>
      </c>
      <c r="C18" s="30">
        <v>323</v>
      </c>
      <c r="D18" s="98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98">
        <f t="shared" si="2"/>
        <v>2150000</v>
      </c>
      <c r="K18" s="26"/>
      <c r="L18" s="26"/>
    </row>
    <row r="19" spans="1:12" x14ac:dyDescent="0.3">
      <c r="A19" s="2" t="s">
        <v>639</v>
      </c>
      <c r="B19" s="2" t="s">
        <v>640</v>
      </c>
      <c r="C19" s="30">
        <v>355</v>
      </c>
      <c r="D19" s="98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98">
        <f t="shared" si="2"/>
        <v>3550000</v>
      </c>
      <c r="K19" s="26"/>
      <c r="L19" s="26"/>
    </row>
    <row r="20" spans="1:12" x14ac:dyDescent="0.3">
      <c r="A20" s="2" t="s">
        <v>643</v>
      </c>
      <c r="B20" s="2" t="s">
        <v>644</v>
      </c>
      <c r="C20" s="30">
        <v>385</v>
      </c>
      <c r="D20" s="98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98">
        <f t="shared" si="2"/>
        <v>2150000</v>
      </c>
      <c r="K20" s="26"/>
      <c r="L20" s="26"/>
    </row>
    <row r="21" spans="1:12" x14ac:dyDescent="0.3">
      <c r="A21" s="2" t="s">
        <v>647</v>
      </c>
      <c r="B21" s="2" t="s">
        <v>623</v>
      </c>
      <c r="C21" s="30">
        <v>366</v>
      </c>
      <c r="D21" s="98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98">
        <f t="shared" si="2"/>
        <v>4180000</v>
      </c>
      <c r="K21" s="26"/>
      <c r="L21" s="26"/>
    </row>
    <row r="22" spans="1:12" x14ac:dyDescent="0.3">
      <c r="A22" s="2" t="s">
        <v>650</v>
      </c>
      <c r="B22" s="2" t="s">
        <v>651</v>
      </c>
      <c r="C22" s="30">
        <v>374</v>
      </c>
      <c r="D22" s="98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98">
        <f t="shared" si="2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 x14ac:dyDescent="0.3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topLeftCell="A16" zoomScale="175" zoomScaleNormal="175" workbookViewId="0">
      <selection activeCell="I23" sqref="I23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1"/>
      <c r="J1" s="34"/>
      <c r="K1" s="26"/>
    </row>
    <row r="2" spans="1:11" x14ac:dyDescent="0.3">
      <c r="A2" s="2" t="s">
        <v>664</v>
      </c>
      <c r="B2" s="2" t="s">
        <v>665</v>
      </c>
      <c r="C2" s="2" t="s">
        <v>656</v>
      </c>
      <c r="D2" s="85" t="s">
        <v>666</v>
      </c>
      <c r="E2" s="26"/>
      <c r="F2" s="37" t="s">
        <v>667</v>
      </c>
      <c r="G2" s="37" t="s">
        <v>668</v>
      </c>
      <c r="H2" s="37" t="s">
        <v>669</v>
      </c>
      <c r="I2" s="88" t="s">
        <v>670</v>
      </c>
      <c r="J2" s="26"/>
      <c r="K2" s="26"/>
    </row>
    <row r="3" spans="1:11" x14ac:dyDescent="0.3">
      <c r="A3" s="2" t="s">
        <v>671</v>
      </c>
      <c r="B3" s="2" t="s">
        <v>183</v>
      </c>
      <c r="C3" s="2" t="s">
        <v>672</v>
      </c>
      <c r="D3" s="2" t="str">
        <f>HLOOKUP(LEFT(A3,1),$B$13:$D$14,2,0)</f>
        <v>생산부</v>
      </c>
      <c r="E3" s="26"/>
      <c r="F3" s="37" t="s">
        <v>673</v>
      </c>
      <c r="G3" s="9">
        <v>85</v>
      </c>
      <c r="H3" s="9">
        <v>90</v>
      </c>
      <c r="I3" s="151" t="str">
        <f>HLOOKUP(AVERAGE(G3:H3),$G$12:$K$14,3,1)</f>
        <v>B</v>
      </c>
      <c r="J3" s="26"/>
      <c r="K3" s="26"/>
    </row>
    <row r="4" spans="1:11" x14ac:dyDescent="0.3">
      <c r="A4" s="2" t="s">
        <v>674</v>
      </c>
      <c r="B4" s="2" t="s">
        <v>183</v>
      </c>
      <c r="C4" s="2" t="s">
        <v>369</v>
      </c>
      <c r="D4" s="119" t="str">
        <f t="shared" ref="D4:D10" si="0">HLOOKUP(LEFT(A4,1),$B$13:$D$14,2,0)</f>
        <v>관리부</v>
      </c>
      <c r="E4" s="26"/>
      <c r="F4" s="37" t="s">
        <v>675</v>
      </c>
      <c r="G4" s="9">
        <v>65</v>
      </c>
      <c r="H4" s="9">
        <v>70</v>
      </c>
      <c r="I4" s="151" t="str">
        <f t="shared" ref="I4:I9" si="1">HLOOKUP(AVERAGE(G4:H4),$G$12:$K$14,3,1)</f>
        <v>D</v>
      </c>
      <c r="J4" s="26"/>
      <c r="K4" s="26"/>
    </row>
    <row r="5" spans="1:11" x14ac:dyDescent="0.3">
      <c r="A5" s="2" t="s">
        <v>676</v>
      </c>
      <c r="B5" s="2" t="s">
        <v>188</v>
      </c>
      <c r="C5" s="2" t="s">
        <v>369</v>
      </c>
      <c r="D5" s="119" t="str">
        <f t="shared" si="0"/>
        <v>영업부</v>
      </c>
      <c r="E5" s="26"/>
      <c r="F5" s="37" t="s">
        <v>677</v>
      </c>
      <c r="G5" s="9">
        <v>70</v>
      </c>
      <c r="H5" s="9">
        <v>95</v>
      </c>
      <c r="I5" s="151" t="str">
        <f t="shared" si="1"/>
        <v>B</v>
      </c>
      <c r="J5" s="26"/>
      <c r="K5" s="26"/>
    </row>
    <row r="6" spans="1:11" x14ac:dyDescent="0.3">
      <c r="A6" s="2" t="s">
        <v>678</v>
      </c>
      <c r="B6" s="2" t="s">
        <v>188</v>
      </c>
      <c r="C6" s="2" t="s">
        <v>489</v>
      </c>
      <c r="D6" s="119" t="str">
        <f t="shared" si="0"/>
        <v>생산부</v>
      </c>
      <c r="E6" s="26"/>
      <c r="F6" s="37" t="s">
        <v>679</v>
      </c>
      <c r="G6" s="9">
        <v>90</v>
      </c>
      <c r="H6" s="9">
        <v>75</v>
      </c>
      <c r="I6" s="151" t="str">
        <f t="shared" si="1"/>
        <v>B</v>
      </c>
      <c r="J6" s="26"/>
      <c r="K6" s="26"/>
    </row>
    <row r="7" spans="1:11" x14ac:dyDescent="0.3">
      <c r="A7" s="2" t="s">
        <v>680</v>
      </c>
      <c r="B7" s="2" t="s">
        <v>186</v>
      </c>
      <c r="C7" s="2" t="s">
        <v>489</v>
      </c>
      <c r="D7" s="119" t="str">
        <f t="shared" si="0"/>
        <v>영업부</v>
      </c>
      <c r="E7" s="26"/>
      <c r="F7" s="37" t="s">
        <v>681</v>
      </c>
      <c r="G7" s="9">
        <v>60</v>
      </c>
      <c r="H7" s="9">
        <v>75</v>
      </c>
      <c r="I7" s="151" t="str">
        <f t="shared" si="1"/>
        <v>D</v>
      </c>
      <c r="J7" s="26"/>
      <c r="K7" s="26"/>
    </row>
    <row r="8" spans="1:11" x14ac:dyDescent="0.3">
      <c r="A8" s="2" t="s">
        <v>682</v>
      </c>
      <c r="B8" s="2" t="s">
        <v>196</v>
      </c>
      <c r="C8" s="2" t="s">
        <v>244</v>
      </c>
      <c r="D8" s="119" t="str">
        <f t="shared" si="0"/>
        <v>영업부</v>
      </c>
      <c r="E8" s="26"/>
      <c r="F8" s="37" t="s">
        <v>683</v>
      </c>
      <c r="G8" s="9">
        <v>95</v>
      </c>
      <c r="H8" s="9">
        <v>85</v>
      </c>
      <c r="I8" s="151" t="str">
        <f t="shared" si="1"/>
        <v>A</v>
      </c>
      <c r="J8" s="26"/>
      <c r="K8" s="26"/>
    </row>
    <row r="9" spans="1:11" x14ac:dyDescent="0.3">
      <c r="A9" s="2" t="s">
        <v>684</v>
      </c>
      <c r="B9" s="2" t="s">
        <v>186</v>
      </c>
      <c r="C9" s="2" t="s">
        <v>638</v>
      </c>
      <c r="D9" s="119" t="str">
        <f t="shared" si="0"/>
        <v>관리부</v>
      </c>
      <c r="E9" s="26"/>
      <c r="F9" s="37" t="s">
        <v>685</v>
      </c>
      <c r="G9" s="9">
        <v>70</v>
      </c>
      <c r="H9" s="9">
        <v>85</v>
      </c>
      <c r="I9" s="151" t="str">
        <f t="shared" si="1"/>
        <v>C</v>
      </c>
      <c r="J9" s="26"/>
      <c r="K9" s="26"/>
    </row>
    <row r="10" spans="1:11" x14ac:dyDescent="0.3">
      <c r="A10" s="2" t="s">
        <v>686</v>
      </c>
      <c r="B10" s="2" t="s">
        <v>183</v>
      </c>
      <c r="C10" s="2" t="s">
        <v>244</v>
      </c>
      <c r="D10" s="119" t="str">
        <f t="shared" si="0"/>
        <v>생산부</v>
      </c>
      <c r="E10" s="26"/>
      <c r="F10" s="59"/>
      <c r="G10" s="59"/>
      <c r="H10" s="60"/>
      <c r="I10" s="59"/>
      <c r="J10" s="26"/>
      <c r="K10" s="26"/>
    </row>
    <row r="11" spans="1:11" x14ac:dyDescent="0.3">
      <c r="A11" s="26"/>
      <c r="B11" s="26"/>
      <c r="C11" s="26"/>
      <c r="D11" s="26"/>
      <c r="E11" s="26"/>
      <c r="F11" s="61" t="s">
        <v>687</v>
      </c>
      <c r="G11" s="61"/>
      <c r="H11" s="61"/>
      <c r="I11" s="61"/>
      <c r="J11" s="61"/>
      <c r="K11" s="61"/>
    </row>
    <row r="12" spans="1:11" x14ac:dyDescent="0.3">
      <c r="A12" s="4" t="s">
        <v>688</v>
      </c>
      <c r="B12" s="26"/>
      <c r="C12" s="26"/>
      <c r="D12" s="26"/>
      <c r="E12" s="26"/>
      <c r="F12" s="149" t="s">
        <v>689</v>
      </c>
      <c r="G12" s="62">
        <v>0</v>
      </c>
      <c r="H12" s="63">
        <v>60</v>
      </c>
      <c r="I12" s="63">
        <v>70</v>
      </c>
      <c r="J12" s="63">
        <v>80</v>
      </c>
      <c r="K12" s="63">
        <v>90</v>
      </c>
    </row>
    <row r="13" spans="1:11" x14ac:dyDescent="0.3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50"/>
      <c r="G13" s="64">
        <v>60</v>
      </c>
      <c r="H13" s="64">
        <v>70</v>
      </c>
      <c r="I13" s="64">
        <v>80</v>
      </c>
      <c r="J13" s="64">
        <v>90</v>
      </c>
      <c r="K13" s="65">
        <v>100</v>
      </c>
    </row>
    <row r="14" spans="1:11" x14ac:dyDescent="0.3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5" t="s">
        <v>246</v>
      </c>
      <c r="B16" s="46" t="s">
        <v>703</v>
      </c>
      <c r="C16" s="45"/>
      <c r="D16" s="45"/>
      <c r="E16" s="45"/>
      <c r="F16" s="26" t="s">
        <v>248</v>
      </c>
      <c r="G16" s="27" t="s">
        <v>704</v>
      </c>
      <c r="H16" s="26"/>
      <c r="I16" s="26"/>
      <c r="J16" s="26"/>
      <c r="K16" s="26"/>
    </row>
    <row r="17" spans="1:11" x14ac:dyDescent="0.3">
      <c r="A17" s="66" t="s">
        <v>705</v>
      </c>
      <c r="B17" s="87" t="str">
        <f>COLUMN()+5&amp;"월"</f>
        <v>7월</v>
      </c>
      <c r="C17" s="87" t="str">
        <f t="shared" ref="C17:D17" si="2">COLUMN()+5&amp;"월"</f>
        <v>8월</v>
      </c>
      <c r="D17" s="87" t="str">
        <f t="shared" si="2"/>
        <v>9월</v>
      </c>
      <c r="E17" s="67"/>
      <c r="F17" s="68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 x14ac:dyDescent="0.3">
      <c r="A18" s="87">
        <f>ROW()-17</f>
        <v>1</v>
      </c>
      <c r="B18" s="5">
        <v>25.9</v>
      </c>
      <c r="C18" s="5">
        <v>26.7</v>
      </c>
      <c r="D18" s="5">
        <v>21.2</v>
      </c>
      <c r="E18" s="67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 x14ac:dyDescent="0.3">
      <c r="A19" s="87">
        <f t="shared" ref="A19:A27" si="3">ROW()-17</f>
        <v>2</v>
      </c>
      <c r="B19" s="5">
        <v>26.1</v>
      </c>
      <c r="C19" s="5">
        <v>26.6</v>
      </c>
      <c r="D19" s="5">
        <v>23.3</v>
      </c>
      <c r="E19" s="67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 x14ac:dyDescent="0.3">
      <c r="A20" s="87">
        <f t="shared" si="3"/>
        <v>3</v>
      </c>
      <c r="B20" s="5">
        <v>27.8</v>
      </c>
      <c r="C20" s="5">
        <v>28.4</v>
      </c>
      <c r="D20" s="5">
        <v>24.7</v>
      </c>
      <c r="E20" s="67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 x14ac:dyDescent="0.3">
      <c r="A21" s="87">
        <f t="shared" si="3"/>
        <v>4</v>
      </c>
      <c r="B21" s="5">
        <v>26.1</v>
      </c>
      <c r="C21" s="5">
        <v>27.9</v>
      </c>
      <c r="D21" s="5">
        <v>24.3</v>
      </c>
      <c r="E21" s="67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 x14ac:dyDescent="0.3">
      <c r="A22" s="87">
        <f t="shared" si="3"/>
        <v>5</v>
      </c>
      <c r="B22" s="5">
        <v>26.6</v>
      </c>
      <c r="C22" s="5">
        <v>27.2</v>
      </c>
      <c r="D22" s="5">
        <v>21.9</v>
      </c>
      <c r="E22" s="67"/>
      <c r="F22" s="26"/>
      <c r="G22" s="26"/>
      <c r="H22" s="26"/>
      <c r="I22" s="26"/>
      <c r="J22" s="26"/>
      <c r="K22" s="26"/>
    </row>
    <row r="23" spans="1:11" x14ac:dyDescent="0.3">
      <c r="A23" s="87">
        <f t="shared" si="3"/>
        <v>6</v>
      </c>
      <c r="B23" s="5">
        <v>25.8</v>
      </c>
      <c r="C23" s="5">
        <v>27.1</v>
      </c>
      <c r="D23" s="5">
        <v>23.2</v>
      </c>
      <c r="E23" s="67"/>
      <c r="F23" s="69" t="s">
        <v>712</v>
      </c>
      <c r="G23" s="69"/>
      <c r="H23" s="26"/>
      <c r="I23" s="26"/>
      <c r="J23" s="26"/>
      <c r="K23" s="26"/>
    </row>
    <row r="24" spans="1:11" x14ac:dyDescent="0.3">
      <c r="A24" s="87">
        <f t="shared" si="3"/>
        <v>7</v>
      </c>
      <c r="B24" s="5">
        <v>24.2</v>
      </c>
      <c r="C24" s="5">
        <v>25.3</v>
      </c>
      <c r="D24" s="5">
        <v>21.3</v>
      </c>
      <c r="E24" s="67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 x14ac:dyDescent="0.3">
      <c r="A25" s="87">
        <f t="shared" si="3"/>
        <v>8</v>
      </c>
      <c r="B25" s="5">
        <v>24.6</v>
      </c>
      <c r="C25" s="5">
        <v>25.6</v>
      </c>
      <c r="D25" s="5">
        <v>20.5</v>
      </c>
      <c r="E25" s="67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 x14ac:dyDescent="0.3">
      <c r="A26" s="87">
        <f t="shared" si="3"/>
        <v>9</v>
      </c>
      <c r="B26" s="5">
        <v>26.1</v>
      </c>
      <c r="C26" s="5">
        <v>25.9</v>
      </c>
      <c r="D26" s="5">
        <v>22.3</v>
      </c>
      <c r="E26" s="67"/>
      <c r="F26" s="26"/>
      <c r="G26" s="26"/>
      <c r="H26" s="26"/>
      <c r="I26" s="26"/>
      <c r="J26" s="26"/>
      <c r="K26" s="26"/>
    </row>
    <row r="27" spans="1:11" x14ac:dyDescent="0.3">
      <c r="A27" s="87">
        <f t="shared" si="3"/>
        <v>10</v>
      </c>
      <c r="B27" s="5">
        <v>25.9</v>
      </c>
      <c r="C27" s="5">
        <v>26.3</v>
      </c>
      <c r="D27" s="5">
        <v>21.9</v>
      </c>
      <c r="E27" s="67"/>
      <c r="F27" s="2" t="s">
        <v>715</v>
      </c>
      <c r="G27" s="2" t="s">
        <v>716</v>
      </c>
      <c r="H27" s="85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" t="s">
        <v>710</v>
      </c>
      <c r="G28" s="2" t="s">
        <v>709</v>
      </c>
      <c r="H28" s="29" cm="1">
        <f t="array" ref="H28">INDEX(G18:J21,HLOOKUP(F28,G24:J25,2,0),HLOOKUP(G28,G24:J25,2,0))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1"/>
      <c r="J1" s="34"/>
      <c r="K1" s="26"/>
    </row>
    <row r="2" spans="1:11" x14ac:dyDescent="0.3">
      <c r="A2" s="81" t="s">
        <v>664</v>
      </c>
      <c r="B2" s="81" t="s">
        <v>174</v>
      </c>
      <c r="C2" s="81" t="s">
        <v>482</v>
      </c>
      <c r="D2" s="86" t="s">
        <v>116</v>
      </c>
      <c r="E2" s="26"/>
      <c r="F2" s="37" t="s">
        <v>177</v>
      </c>
      <c r="G2" s="37" t="s">
        <v>668</v>
      </c>
      <c r="H2" s="37" t="s">
        <v>669</v>
      </c>
      <c r="I2" s="88" t="s">
        <v>670</v>
      </c>
      <c r="J2" s="26"/>
      <c r="K2" s="26"/>
    </row>
    <row r="3" spans="1:11" x14ac:dyDescent="0.3">
      <c r="A3" s="81" t="s">
        <v>671</v>
      </c>
      <c r="B3" s="81" t="s">
        <v>183</v>
      </c>
      <c r="C3" s="81" t="s">
        <v>369</v>
      </c>
      <c r="D3" s="91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99" t="str">
        <f t="shared" ref="I3:I9" si="0">HLOOKUP(AVERAGE(G3:H3),$G$12:$K$14,3,TRUE)</f>
        <v>B</v>
      </c>
      <c r="J3" s="26"/>
      <c r="K3" s="26"/>
    </row>
    <row r="4" spans="1:11" x14ac:dyDescent="0.3">
      <c r="A4" s="81" t="s">
        <v>674</v>
      </c>
      <c r="B4" s="81" t="s">
        <v>183</v>
      </c>
      <c r="C4" s="81" t="s">
        <v>369</v>
      </c>
      <c r="D4" s="91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99" t="str">
        <f t="shared" si="0"/>
        <v>D</v>
      </c>
      <c r="J4" s="26"/>
      <c r="K4" s="26"/>
    </row>
    <row r="5" spans="1:11" x14ac:dyDescent="0.3">
      <c r="A5" s="81" t="s">
        <v>676</v>
      </c>
      <c r="B5" s="81" t="s">
        <v>188</v>
      </c>
      <c r="C5" s="81" t="s">
        <v>369</v>
      </c>
      <c r="D5" s="91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99" t="str">
        <f t="shared" si="0"/>
        <v>B</v>
      </c>
      <c r="J5" s="26"/>
      <c r="K5" s="26"/>
    </row>
    <row r="6" spans="1:11" x14ac:dyDescent="0.3">
      <c r="A6" s="81" t="s">
        <v>678</v>
      </c>
      <c r="B6" s="81" t="s">
        <v>188</v>
      </c>
      <c r="C6" s="81" t="s">
        <v>232</v>
      </c>
      <c r="D6" s="91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99" t="str">
        <f t="shared" si="0"/>
        <v>B</v>
      </c>
      <c r="J6" s="26"/>
      <c r="K6" s="26"/>
    </row>
    <row r="7" spans="1:11" x14ac:dyDescent="0.3">
      <c r="A7" s="81" t="s">
        <v>680</v>
      </c>
      <c r="B7" s="81" t="s">
        <v>183</v>
      </c>
      <c r="C7" s="81" t="s">
        <v>232</v>
      </c>
      <c r="D7" s="91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99" t="str">
        <f t="shared" si="0"/>
        <v>D</v>
      </c>
      <c r="J7" s="26"/>
      <c r="K7" s="26"/>
    </row>
    <row r="8" spans="1:11" x14ac:dyDescent="0.3">
      <c r="A8" s="81" t="s">
        <v>682</v>
      </c>
      <c r="B8" s="81" t="s">
        <v>188</v>
      </c>
      <c r="C8" s="81" t="s">
        <v>238</v>
      </c>
      <c r="D8" s="91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99" t="str">
        <f t="shared" si="0"/>
        <v>A</v>
      </c>
      <c r="J8" s="26"/>
      <c r="K8" s="26"/>
    </row>
    <row r="9" spans="1:11" x14ac:dyDescent="0.3">
      <c r="A9" s="81" t="s">
        <v>684</v>
      </c>
      <c r="B9" s="81" t="s">
        <v>183</v>
      </c>
      <c r="C9" s="81" t="s">
        <v>238</v>
      </c>
      <c r="D9" s="91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99" t="str">
        <f t="shared" si="0"/>
        <v>C</v>
      </c>
      <c r="J9" s="26"/>
      <c r="K9" s="26"/>
    </row>
    <row r="10" spans="1:11" x14ac:dyDescent="0.3">
      <c r="A10" s="81" t="s">
        <v>686</v>
      </c>
      <c r="B10" s="81" t="s">
        <v>183</v>
      </c>
      <c r="C10" s="81" t="s">
        <v>238</v>
      </c>
      <c r="D10" s="91" t="str">
        <f t="shared" si="1"/>
        <v>생산부</v>
      </c>
      <c r="E10" s="26"/>
      <c r="F10" s="59"/>
      <c r="G10" s="59"/>
      <c r="H10" s="60"/>
      <c r="I10" s="59"/>
      <c r="J10" s="26"/>
      <c r="K10" s="26"/>
    </row>
    <row r="11" spans="1:11" x14ac:dyDescent="0.3">
      <c r="A11" s="26"/>
      <c r="B11" s="26"/>
      <c r="C11" s="26"/>
      <c r="D11" s="26"/>
      <c r="E11" s="26"/>
      <c r="F11" s="61" t="s">
        <v>687</v>
      </c>
      <c r="G11" s="61"/>
      <c r="H11" s="61"/>
      <c r="I11" s="61"/>
      <c r="J11" s="61"/>
      <c r="K11" s="61"/>
    </row>
    <row r="12" spans="1:11" x14ac:dyDescent="0.3">
      <c r="A12" s="4" t="s">
        <v>688</v>
      </c>
      <c r="B12" s="26"/>
      <c r="C12" s="26"/>
      <c r="D12" s="26"/>
      <c r="E12" s="26"/>
      <c r="F12" s="149" t="s">
        <v>689</v>
      </c>
      <c r="G12" s="62">
        <v>0</v>
      </c>
      <c r="H12" s="63">
        <v>60</v>
      </c>
      <c r="I12" s="63">
        <v>70</v>
      </c>
      <c r="J12" s="63">
        <v>80</v>
      </c>
      <c r="K12" s="63">
        <v>90</v>
      </c>
    </row>
    <row r="13" spans="1:11" x14ac:dyDescent="0.3">
      <c r="A13" s="81" t="s">
        <v>690</v>
      </c>
      <c r="B13" s="81" t="s">
        <v>691</v>
      </c>
      <c r="C13" s="81" t="s">
        <v>692</v>
      </c>
      <c r="D13" s="81" t="s">
        <v>693</v>
      </c>
      <c r="E13" s="26"/>
      <c r="F13" s="150"/>
      <c r="G13" s="64">
        <v>60</v>
      </c>
      <c r="H13" s="64">
        <v>70</v>
      </c>
      <c r="I13" s="64">
        <v>80</v>
      </c>
      <c r="J13" s="64">
        <v>90</v>
      </c>
      <c r="K13" s="65">
        <v>100</v>
      </c>
    </row>
    <row r="14" spans="1:11" x14ac:dyDescent="0.3">
      <c r="A14" s="81" t="s">
        <v>116</v>
      </c>
      <c r="B14" s="81" t="s">
        <v>368</v>
      </c>
      <c r="C14" s="81" t="s">
        <v>125</v>
      </c>
      <c r="D14" s="81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1" t="s">
        <v>692</v>
      </c>
      <c r="K14" s="81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5" t="s">
        <v>112</v>
      </c>
      <c r="B16" s="46" t="s">
        <v>703</v>
      </c>
      <c r="C16" s="45"/>
      <c r="D16" s="45"/>
      <c r="E16" s="45"/>
      <c r="F16" s="26" t="s">
        <v>114</v>
      </c>
      <c r="G16" s="27" t="s">
        <v>704</v>
      </c>
      <c r="H16" s="26"/>
      <c r="I16" s="26"/>
      <c r="J16" s="26"/>
      <c r="K16" s="26"/>
    </row>
    <row r="17" spans="1:11" x14ac:dyDescent="0.3">
      <c r="A17" s="66" t="s">
        <v>705</v>
      </c>
      <c r="B17" s="87" t="str">
        <f>COLUMN()+5&amp;"월"</f>
        <v>7월</v>
      </c>
      <c r="C17" s="87" t="str">
        <f t="shared" ref="C17:D17" si="2">COLUMN()+5&amp;"월"</f>
        <v>8월</v>
      </c>
      <c r="D17" s="87" t="str">
        <f t="shared" si="2"/>
        <v>9월</v>
      </c>
      <c r="E17" s="67"/>
      <c r="F17" s="68"/>
      <c r="G17" s="81" t="s">
        <v>706</v>
      </c>
      <c r="H17" s="81" t="s">
        <v>707</v>
      </c>
      <c r="I17" s="81" t="s">
        <v>708</v>
      </c>
      <c r="J17" s="81" t="s">
        <v>709</v>
      </c>
      <c r="K17" s="26"/>
    </row>
    <row r="18" spans="1:11" x14ac:dyDescent="0.3">
      <c r="A18" s="87">
        <f>ROW()-17</f>
        <v>1</v>
      </c>
      <c r="B18" s="5">
        <v>25.9</v>
      </c>
      <c r="C18" s="5">
        <v>26.7</v>
      </c>
      <c r="D18" s="5">
        <v>21.2</v>
      </c>
      <c r="E18" s="67"/>
      <c r="F18" s="81" t="s">
        <v>706</v>
      </c>
      <c r="G18" s="83">
        <v>3000</v>
      </c>
      <c r="H18" s="83">
        <v>8000</v>
      </c>
      <c r="I18" s="83">
        <v>25000</v>
      </c>
      <c r="J18" s="83">
        <v>28000</v>
      </c>
      <c r="K18" s="26"/>
    </row>
    <row r="19" spans="1:11" x14ac:dyDescent="0.3">
      <c r="A19" s="87">
        <f t="shared" ref="A19:A27" si="3">ROW()-17</f>
        <v>2</v>
      </c>
      <c r="B19" s="5">
        <v>26.1</v>
      </c>
      <c r="C19" s="5">
        <v>26.6</v>
      </c>
      <c r="D19" s="5">
        <v>23.3</v>
      </c>
      <c r="E19" s="67"/>
      <c r="F19" s="81" t="s">
        <v>707</v>
      </c>
      <c r="G19" s="83">
        <v>8000</v>
      </c>
      <c r="H19" s="83">
        <v>2000</v>
      </c>
      <c r="I19" s="83">
        <v>18000</v>
      </c>
      <c r="J19" s="83">
        <v>20000</v>
      </c>
      <c r="K19" s="26"/>
    </row>
    <row r="20" spans="1:11" x14ac:dyDescent="0.3">
      <c r="A20" s="87">
        <f t="shared" si="3"/>
        <v>3</v>
      </c>
      <c r="B20" s="5">
        <v>27.8</v>
      </c>
      <c r="C20" s="5">
        <v>28.4</v>
      </c>
      <c r="D20" s="5">
        <v>24.7</v>
      </c>
      <c r="E20" s="67"/>
      <c r="F20" s="81" t="s">
        <v>708</v>
      </c>
      <c r="G20" s="83">
        <v>25000</v>
      </c>
      <c r="H20" s="83">
        <v>18000</v>
      </c>
      <c r="I20" s="83">
        <v>2500</v>
      </c>
      <c r="J20" s="83">
        <v>15000</v>
      </c>
      <c r="K20" s="26"/>
    </row>
    <row r="21" spans="1:11" x14ac:dyDescent="0.3">
      <c r="A21" s="87">
        <f t="shared" si="3"/>
        <v>4</v>
      </c>
      <c r="B21" s="5">
        <v>26.1</v>
      </c>
      <c r="C21" s="5">
        <v>27.9</v>
      </c>
      <c r="D21" s="5">
        <v>24.3</v>
      </c>
      <c r="E21" s="67"/>
      <c r="F21" s="81" t="s">
        <v>709</v>
      </c>
      <c r="G21" s="83">
        <v>28000</v>
      </c>
      <c r="H21" s="83">
        <v>20000</v>
      </c>
      <c r="I21" s="83">
        <v>15000</v>
      </c>
      <c r="J21" s="83">
        <v>2000</v>
      </c>
      <c r="K21" s="26"/>
    </row>
    <row r="22" spans="1:11" x14ac:dyDescent="0.3">
      <c r="A22" s="87">
        <f t="shared" si="3"/>
        <v>5</v>
      </c>
      <c r="B22" s="5">
        <v>26.6</v>
      </c>
      <c r="C22" s="5">
        <v>27.2</v>
      </c>
      <c r="D22" s="5">
        <v>21.9</v>
      </c>
      <c r="E22" s="67"/>
      <c r="F22" s="26"/>
      <c r="G22" s="26"/>
      <c r="H22" s="26"/>
      <c r="I22" s="26"/>
      <c r="J22" s="26"/>
      <c r="K22" s="26"/>
    </row>
    <row r="23" spans="1:11" x14ac:dyDescent="0.3">
      <c r="A23" s="87">
        <f t="shared" si="3"/>
        <v>6</v>
      </c>
      <c r="B23" s="5">
        <v>25.8</v>
      </c>
      <c r="C23" s="5">
        <v>27.1</v>
      </c>
      <c r="D23" s="5">
        <v>23.2</v>
      </c>
      <c r="E23" s="67"/>
      <c r="F23" s="69" t="s">
        <v>712</v>
      </c>
      <c r="G23" s="69"/>
      <c r="H23" s="26"/>
      <c r="I23" s="26"/>
      <c r="J23" s="26"/>
      <c r="K23" s="26"/>
    </row>
    <row r="24" spans="1:11" x14ac:dyDescent="0.3">
      <c r="A24" s="87">
        <f t="shared" si="3"/>
        <v>7</v>
      </c>
      <c r="B24" s="5">
        <v>24.2</v>
      </c>
      <c r="C24" s="5">
        <v>25.3</v>
      </c>
      <c r="D24" s="5">
        <v>21.3</v>
      </c>
      <c r="E24" s="67"/>
      <c r="F24" s="81" t="s">
        <v>175</v>
      </c>
      <c r="G24" s="81" t="s">
        <v>706</v>
      </c>
      <c r="H24" s="81" t="s">
        <v>707</v>
      </c>
      <c r="I24" s="81" t="s">
        <v>708</v>
      </c>
      <c r="J24" s="81" t="s">
        <v>709</v>
      </c>
      <c r="K24" s="26"/>
    </row>
    <row r="25" spans="1:11" x14ac:dyDescent="0.3">
      <c r="A25" s="87">
        <f t="shared" si="3"/>
        <v>8</v>
      </c>
      <c r="B25" s="5">
        <v>24.6</v>
      </c>
      <c r="C25" s="5">
        <v>25.6</v>
      </c>
      <c r="D25" s="5">
        <v>20.5</v>
      </c>
      <c r="E25" s="67"/>
      <c r="F25" s="81" t="s">
        <v>714</v>
      </c>
      <c r="G25" s="81">
        <v>1</v>
      </c>
      <c r="H25" s="81">
        <v>2</v>
      </c>
      <c r="I25" s="81">
        <v>3</v>
      </c>
      <c r="J25" s="81">
        <v>4</v>
      </c>
      <c r="K25" s="26"/>
    </row>
    <row r="26" spans="1:11" x14ac:dyDescent="0.3">
      <c r="A26" s="87">
        <f t="shared" si="3"/>
        <v>9</v>
      </c>
      <c r="B26" s="5">
        <v>26.1</v>
      </c>
      <c r="C26" s="5">
        <v>25.9</v>
      </c>
      <c r="D26" s="5">
        <v>22.3</v>
      </c>
      <c r="E26" s="67"/>
      <c r="F26" s="26"/>
      <c r="G26" s="26"/>
      <c r="H26" s="26"/>
      <c r="I26" s="26"/>
      <c r="J26" s="26"/>
      <c r="K26" s="26"/>
    </row>
    <row r="27" spans="1:11" x14ac:dyDescent="0.3">
      <c r="A27" s="87">
        <f t="shared" si="3"/>
        <v>10</v>
      </c>
      <c r="B27" s="5">
        <v>25.9</v>
      </c>
      <c r="C27" s="5">
        <v>26.3</v>
      </c>
      <c r="D27" s="5">
        <v>21.9</v>
      </c>
      <c r="E27" s="67"/>
      <c r="F27" s="81" t="s">
        <v>715</v>
      </c>
      <c r="G27" s="81" t="s">
        <v>716</v>
      </c>
      <c r="H27" s="86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81" t="s">
        <v>708</v>
      </c>
      <c r="G28" s="81" t="s">
        <v>709</v>
      </c>
      <c r="H28" s="94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topLeftCell="C13" zoomScale="160" zoomScaleNormal="160" workbookViewId="0">
      <selection activeCell="J15" sqref="J15:J24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0" t="s">
        <v>720</v>
      </c>
      <c r="J1" s="71">
        <v>45659</v>
      </c>
      <c r="K1" s="26"/>
      <c r="L1" s="26"/>
      <c r="M1" s="26"/>
    </row>
    <row r="2" spans="1:13" x14ac:dyDescent="0.3">
      <c r="A2" s="5" t="s">
        <v>360</v>
      </c>
      <c r="B2" s="5" t="s">
        <v>721</v>
      </c>
      <c r="C2" s="5" t="s">
        <v>722</v>
      </c>
      <c r="D2" s="87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5" t="s">
        <v>724</v>
      </c>
      <c r="K2" s="26"/>
      <c r="L2" s="26"/>
      <c r="M2" s="26"/>
    </row>
    <row r="3" spans="1:13" x14ac:dyDescent="0.3">
      <c r="A3" s="2" t="s">
        <v>725</v>
      </c>
      <c r="B3" s="2" t="s">
        <v>726</v>
      </c>
      <c r="C3" s="2" t="s">
        <v>727</v>
      </c>
      <c r="D3" s="72">
        <f>DATE(MID(C3,1,2),MID(C3,3,2),MID(C3,5,2))</f>
        <v>32478</v>
      </c>
      <c r="E3" s="26"/>
      <c r="F3" s="2" t="s">
        <v>728</v>
      </c>
      <c r="G3" s="29" t="s">
        <v>729</v>
      </c>
      <c r="H3" s="73">
        <v>45010</v>
      </c>
      <c r="I3" s="29" t="s">
        <v>730</v>
      </c>
      <c r="J3" s="2" t="str">
        <f>YEAR($J$1)-YEAR(H3)&amp;"("&amp;YEAR($J$1)-(1900+LEFT(I3,2))&amp;")"</f>
        <v>2(33)</v>
      </c>
      <c r="K3" s="26"/>
      <c r="L3" s="26"/>
      <c r="M3" s="26"/>
    </row>
    <row r="4" spans="1:13" x14ac:dyDescent="0.3">
      <c r="A4" s="2" t="s">
        <v>731</v>
      </c>
      <c r="B4" s="2" t="s">
        <v>732</v>
      </c>
      <c r="C4" s="2" t="s">
        <v>733</v>
      </c>
      <c r="D4" s="72">
        <f t="shared" ref="D4:D11" si="0">DATE(MID(C4,1,2),MID(C4,3,2),MID(C4,5,2))</f>
        <v>30522</v>
      </c>
      <c r="E4" s="26"/>
      <c r="F4" s="2" t="s">
        <v>734</v>
      </c>
      <c r="G4" s="29" t="s">
        <v>672</v>
      </c>
      <c r="H4" s="73">
        <v>42156</v>
      </c>
      <c r="I4" s="29" t="s">
        <v>735</v>
      </c>
      <c r="J4" s="122" t="str">
        <f t="shared" ref="J4:J11" si="1">YEAR($J$1)-YEAR(H4)&amp;"("&amp;YEAR($J$1)-(1900+LEFT(I4,2))&amp;")"</f>
        <v>10(40)</v>
      </c>
      <c r="K4" s="26"/>
      <c r="L4" s="26"/>
      <c r="M4" s="26"/>
    </row>
    <row r="5" spans="1:13" x14ac:dyDescent="0.3">
      <c r="A5" s="2" t="s">
        <v>736</v>
      </c>
      <c r="B5" s="2" t="s">
        <v>737</v>
      </c>
      <c r="C5" s="2" t="s">
        <v>738</v>
      </c>
      <c r="D5" s="72">
        <f t="shared" si="0"/>
        <v>31658</v>
      </c>
      <c r="E5" s="26"/>
      <c r="F5" s="2" t="s">
        <v>739</v>
      </c>
      <c r="G5" s="29" t="s">
        <v>227</v>
      </c>
      <c r="H5" s="73">
        <v>43398</v>
      </c>
      <c r="I5" s="29" t="s">
        <v>740</v>
      </c>
      <c r="J5" s="122" t="str">
        <f t="shared" si="1"/>
        <v>7(36)</v>
      </c>
      <c r="K5" s="26"/>
      <c r="L5" s="26"/>
      <c r="M5" s="26"/>
    </row>
    <row r="6" spans="1:13" x14ac:dyDescent="0.3">
      <c r="A6" s="2" t="s">
        <v>741</v>
      </c>
      <c r="B6" s="2" t="s">
        <v>742</v>
      </c>
      <c r="C6" s="2" t="s">
        <v>743</v>
      </c>
      <c r="D6" s="72">
        <f t="shared" si="0"/>
        <v>33833</v>
      </c>
      <c r="E6" s="26"/>
      <c r="F6" s="2" t="s">
        <v>744</v>
      </c>
      <c r="G6" s="29" t="s">
        <v>369</v>
      </c>
      <c r="H6" s="73">
        <v>42497</v>
      </c>
      <c r="I6" s="29" t="s">
        <v>745</v>
      </c>
      <c r="J6" s="122" t="str">
        <f t="shared" si="1"/>
        <v>9(41)</v>
      </c>
      <c r="K6" s="26"/>
      <c r="L6" s="26"/>
      <c r="M6" s="26"/>
    </row>
    <row r="7" spans="1:13" x14ac:dyDescent="0.3">
      <c r="A7" s="2" t="s">
        <v>746</v>
      </c>
      <c r="B7" s="2" t="s">
        <v>732</v>
      </c>
      <c r="C7" s="2" t="s">
        <v>747</v>
      </c>
      <c r="D7" s="72">
        <f t="shared" si="0"/>
        <v>30999</v>
      </c>
      <c r="E7" s="26"/>
      <c r="F7" s="2" t="s">
        <v>748</v>
      </c>
      <c r="G7" s="29" t="s">
        <v>236</v>
      </c>
      <c r="H7" s="73">
        <v>43199</v>
      </c>
      <c r="I7" s="29" t="s">
        <v>749</v>
      </c>
      <c r="J7" s="122" t="str">
        <f t="shared" si="1"/>
        <v>7(34)</v>
      </c>
      <c r="K7" s="26"/>
      <c r="L7" s="26"/>
      <c r="M7" s="26"/>
    </row>
    <row r="8" spans="1:13" x14ac:dyDescent="0.3">
      <c r="A8" s="2" t="s">
        <v>750</v>
      </c>
      <c r="B8" s="2" t="s">
        <v>726</v>
      </c>
      <c r="C8" s="2" t="s">
        <v>751</v>
      </c>
      <c r="D8" s="72">
        <f t="shared" si="0"/>
        <v>29882</v>
      </c>
      <c r="E8" s="26"/>
      <c r="F8" s="2" t="s">
        <v>752</v>
      </c>
      <c r="G8" s="29" t="s">
        <v>244</v>
      </c>
      <c r="H8" s="73">
        <v>44880</v>
      </c>
      <c r="I8" s="29" t="s">
        <v>753</v>
      </c>
      <c r="J8" s="122" t="str">
        <f t="shared" si="1"/>
        <v>3(30)</v>
      </c>
      <c r="K8" s="26"/>
      <c r="L8" s="26"/>
      <c r="M8" s="26"/>
    </row>
    <row r="9" spans="1:13" x14ac:dyDescent="0.3">
      <c r="A9" s="2" t="s">
        <v>754</v>
      </c>
      <c r="B9" s="2" t="s">
        <v>726</v>
      </c>
      <c r="C9" s="2" t="s">
        <v>755</v>
      </c>
      <c r="D9" s="72">
        <f t="shared" si="0"/>
        <v>33241</v>
      </c>
      <c r="E9" s="26"/>
      <c r="F9" s="2" t="s">
        <v>756</v>
      </c>
      <c r="G9" s="29" t="s">
        <v>227</v>
      </c>
      <c r="H9" s="73">
        <v>42751</v>
      </c>
      <c r="I9" s="29" t="s">
        <v>757</v>
      </c>
      <c r="J9" s="122" t="str">
        <f t="shared" si="1"/>
        <v>8(39)</v>
      </c>
      <c r="K9" s="26"/>
      <c r="L9" s="26"/>
      <c r="M9" s="26"/>
    </row>
    <row r="10" spans="1:13" x14ac:dyDescent="0.3">
      <c r="A10" s="2" t="s">
        <v>758</v>
      </c>
      <c r="B10" s="2" t="s">
        <v>742</v>
      </c>
      <c r="C10" s="2" t="s">
        <v>759</v>
      </c>
      <c r="D10" s="72">
        <f t="shared" si="0"/>
        <v>32357</v>
      </c>
      <c r="E10" s="26"/>
      <c r="F10" s="2" t="s">
        <v>760</v>
      </c>
      <c r="G10" s="29" t="s">
        <v>761</v>
      </c>
      <c r="H10" s="73">
        <v>44082</v>
      </c>
      <c r="I10" s="29" t="s">
        <v>762</v>
      </c>
      <c r="J10" s="122" t="str">
        <f t="shared" si="1"/>
        <v>5(36)</v>
      </c>
      <c r="K10" s="26"/>
      <c r="L10" s="26"/>
      <c r="M10" s="26"/>
    </row>
    <row r="11" spans="1:13" x14ac:dyDescent="0.3">
      <c r="A11" s="2" t="s">
        <v>763</v>
      </c>
      <c r="B11" s="2" t="s">
        <v>764</v>
      </c>
      <c r="C11" s="2" t="s">
        <v>765</v>
      </c>
      <c r="D11" s="72">
        <f t="shared" si="0"/>
        <v>33041</v>
      </c>
      <c r="E11" s="26"/>
      <c r="F11" s="2" t="s">
        <v>766</v>
      </c>
      <c r="G11" s="29" t="s">
        <v>236</v>
      </c>
      <c r="H11" s="73">
        <v>43690</v>
      </c>
      <c r="I11" s="29" t="s">
        <v>767</v>
      </c>
      <c r="J11" s="122" t="str">
        <f t="shared" si="1"/>
        <v>6(35)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2" t="s">
        <v>360</v>
      </c>
      <c r="B14" s="2" t="s">
        <v>770</v>
      </c>
      <c r="C14" s="2" t="s">
        <v>771</v>
      </c>
      <c r="D14" s="85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5" t="s">
        <v>775</v>
      </c>
      <c r="K14" s="26"/>
      <c r="L14" s="148" t="s">
        <v>776</v>
      </c>
      <c r="M14" s="148"/>
    </row>
    <row r="15" spans="1:13" x14ac:dyDescent="0.3">
      <c r="A15" s="2" t="s">
        <v>777</v>
      </c>
      <c r="B15" s="72">
        <v>45748</v>
      </c>
      <c r="C15" s="2">
        <v>4</v>
      </c>
      <c r="D15" s="72">
        <f>WORKDAY(B15,C15)</f>
        <v>45754</v>
      </c>
      <c r="E15" s="26"/>
      <c r="F15" s="2">
        <v>5</v>
      </c>
      <c r="G15" s="2">
        <v>1</v>
      </c>
      <c r="H15" s="2" t="s">
        <v>778</v>
      </c>
      <c r="I15" s="72">
        <v>44990</v>
      </c>
      <c r="J15" s="2" t="str">
        <f>VLOOKUP(WEEKDAY(I15,2),$L$16:$M$22,2,0)</f>
        <v>일요일</v>
      </c>
      <c r="K15" s="26"/>
      <c r="L15" s="2" t="s">
        <v>779</v>
      </c>
      <c r="M15" s="2" t="s">
        <v>780</v>
      </c>
    </row>
    <row r="16" spans="1:13" x14ac:dyDescent="0.3">
      <c r="A16" s="2" t="s">
        <v>781</v>
      </c>
      <c r="B16" s="72">
        <v>45748</v>
      </c>
      <c r="C16" s="2">
        <v>8</v>
      </c>
      <c r="D16" s="72">
        <f t="shared" ref="D16:D24" si="2">WORKDAY(B16,C16)</f>
        <v>45758</v>
      </c>
      <c r="E16" s="26"/>
      <c r="F16" s="2">
        <v>5</v>
      </c>
      <c r="G16" s="2">
        <v>2</v>
      </c>
      <c r="H16" s="2" t="s">
        <v>782</v>
      </c>
      <c r="I16" s="72">
        <v>45187</v>
      </c>
      <c r="J16" s="122" t="str">
        <f t="shared" ref="J16:J24" si="3">VLOOKUP(WEEKDAY(I16,2),$L$16:$M$22,2,0)</f>
        <v>월요일</v>
      </c>
      <c r="K16" s="26"/>
      <c r="L16" s="2">
        <v>1</v>
      </c>
      <c r="M16" s="2" t="s">
        <v>783</v>
      </c>
    </row>
    <row r="17" spans="1:13" x14ac:dyDescent="0.3">
      <c r="A17" s="2" t="s">
        <v>784</v>
      </c>
      <c r="B17" s="72">
        <v>45748</v>
      </c>
      <c r="C17" s="2">
        <v>5</v>
      </c>
      <c r="D17" s="72">
        <f t="shared" si="2"/>
        <v>45755</v>
      </c>
      <c r="E17" s="26"/>
      <c r="F17" s="2">
        <v>5</v>
      </c>
      <c r="G17" s="2">
        <v>3</v>
      </c>
      <c r="H17" s="2" t="s">
        <v>785</v>
      </c>
      <c r="I17" s="72">
        <v>45098</v>
      </c>
      <c r="J17" s="122" t="str">
        <f t="shared" si="3"/>
        <v>수요일</v>
      </c>
      <c r="K17" s="26"/>
      <c r="L17" s="2">
        <v>2</v>
      </c>
      <c r="M17" s="2" t="s">
        <v>786</v>
      </c>
    </row>
    <row r="18" spans="1:13" x14ac:dyDescent="0.3">
      <c r="A18" s="2" t="s">
        <v>787</v>
      </c>
      <c r="B18" s="72">
        <v>45757</v>
      </c>
      <c r="C18" s="2">
        <v>6</v>
      </c>
      <c r="D18" s="72">
        <f t="shared" si="2"/>
        <v>45765</v>
      </c>
      <c r="E18" s="26"/>
      <c r="F18" s="2">
        <v>5</v>
      </c>
      <c r="G18" s="2">
        <v>4</v>
      </c>
      <c r="H18" s="2" t="s">
        <v>788</v>
      </c>
      <c r="I18" s="72">
        <v>45261</v>
      </c>
      <c r="J18" s="122" t="str">
        <f t="shared" si="3"/>
        <v>금요일</v>
      </c>
      <c r="K18" s="26"/>
      <c r="L18" s="2">
        <v>3</v>
      </c>
      <c r="M18" s="2" t="s">
        <v>789</v>
      </c>
    </row>
    <row r="19" spans="1:13" x14ac:dyDescent="0.3">
      <c r="A19" s="2" t="s">
        <v>790</v>
      </c>
      <c r="B19" s="72">
        <v>45757</v>
      </c>
      <c r="C19" s="2">
        <v>7</v>
      </c>
      <c r="D19" s="72">
        <f t="shared" si="2"/>
        <v>45768</v>
      </c>
      <c r="E19" s="26"/>
      <c r="F19" s="2">
        <v>5</v>
      </c>
      <c r="G19" s="2">
        <v>5</v>
      </c>
      <c r="H19" s="2" t="s">
        <v>791</v>
      </c>
      <c r="I19" s="72">
        <v>45132</v>
      </c>
      <c r="J19" s="122" t="str">
        <f t="shared" si="3"/>
        <v>화요일</v>
      </c>
      <c r="K19" s="26"/>
      <c r="L19" s="2">
        <v>4</v>
      </c>
      <c r="M19" s="2" t="s">
        <v>792</v>
      </c>
    </row>
    <row r="20" spans="1:13" x14ac:dyDescent="0.3">
      <c r="A20" s="2" t="s">
        <v>793</v>
      </c>
      <c r="B20" s="72">
        <v>45757</v>
      </c>
      <c r="C20" s="2">
        <v>9</v>
      </c>
      <c r="D20" s="72">
        <f t="shared" si="2"/>
        <v>45770</v>
      </c>
      <c r="E20" s="26"/>
      <c r="F20" s="2">
        <v>6</v>
      </c>
      <c r="G20" s="2">
        <v>1</v>
      </c>
      <c r="H20" s="2" t="s">
        <v>794</v>
      </c>
      <c r="I20" s="72">
        <v>44656</v>
      </c>
      <c r="J20" s="122" t="str">
        <f t="shared" si="3"/>
        <v>화요일</v>
      </c>
      <c r="K20" s="26"/>
      <c r="L20" s="2">
        <v>5</v>
      </c>
      <c r="M20" s="2" t="s">
        <v>795</v>
      </c>
    </row>
    <row r="21" spans="1:13" x14ac:dyDescent="0.3">
      <c r="A21" s="2" t="s">
        <v>796</v>
      </c>
      <c r="B21" s="72">
        <v>45757</v>
      </c>
      <c r="C21" s="2">
        <v>4</v>
      </c>
      <c r="D21" s="72">
        <f t="shared" si="2"/>
        <v>45763</v>
      </c>
      <c r="E21" s="26"/>
      <c r="F21" s="2">
        <v>6</v>
      </c>
      <c r="G21" s="2">
        <v>2</v>
      </c>
      <c r="H21" s="2" t="s">
        <v>797</v>
      </c>
      <c r="I21" s="72">
        <v>44786</v>
      </c>
      <c r="J21" s="122" t="str">
        <f t="shared" si="3"/>
        <v>토요일</v>
      </c>
      <c r="K21" s="26"/>
      <c r="L21" s="2">
        <v>6</v>
      </c>
      <c r="M21" s="2" t="s">
        <v>798</v>
      </c>
    </row>
    <row r="22" spans="1:13" x14ac:dyDescent="0.3">
      <c r="A22" s="2" t="s">
        <v>799</v>
      </c>
      <c r="B22" s="72">
        <v>45763</v>
      </c>
      <c r="C22" s="2">
        <v>8</v>
      </c>
      <c r="D22" s="72">
        <f t="shared" si="2"/>
        <v>45775</v>
      </c>
      <c r="E22" s="26"/>
      <c r="F22" s="2">
        <v>6</v>
      </c>
      <c r="G22" s="2">
        <v>3</v>
      </c>
      <c r="H22" s="2" t="s">
        <v>800</v>
      </c>
      <c r="I22" s="72">
        <v>44874</v>
      </c>
      <c r="J22" s="122" t="str">
        <f t="shared" si="3"/>
        <v>수요일</v>
      </c>
      <c r="K22" s="26"/>
      <c r="L22" s="2">
        <v>7</v>
      </c>
      <c r="M22" s="2" t="s">
        <v>801</v>
      </c>
    </row>
    <row r="23" spans="1:13" x14ac:dyDescent="0.3">
      <c r="A23" s="2" t="s">
        <v>802</v>
      </c>
      <c r="B23" s="72">
        <v>45763</v>
      </c>
      <c r="C23" s="2">
        <v>5</v>
      </c>
      <c r="D23" s="72">
        <f t="shared" si="2"/>
        <v>45770</v>
      </c>
      <c r="E23" s="26"/>
      <c r="F23" s="2">
        <v>6</v>
      </c>
      <c r="G23" s="2">
        <v>4</v>
      </c>
      <c r="H23" s="2" t="s">
        <v>803</v>
      </c>
      <c r="I23" s="72">
        <v>44753</v>
      </c>
      <c r="J23" s="122" t="str">
        <f t="shared" si="3"/>
        <v>월요일</v>
      </c>
      <c r="K23" s="26"/>
      <c r="L23" s="26"/>
      <c r="M23" s="26"/>
    </row>
    <row r="24" spans="1:13" x14ac:dyDescent="0.3">
      <c r="A24" s="2" t="s">
        <v>804</v>
      </c>
      <c r="B24" s="72">
        <v>45763</v>
      </c>
      <c r="C24" s="2">
        <v>7</v>
      </c>
      <c r="D24" s="72">
        <f t="shared" si="2"/>
        <v>45772</v>
      </c>
      <c r="E24" s="26"/>
      <c r="F24" s="2">
        <v>6</v>
      </c>
      <c r="G24" s="2">
        <v>5</v>
      </c>
      <c r="H24" s="2" t="s">
        <v>805</v>
      </c>
      <c r="I24" s="72">
        <v>44781</v>
      </c>
      <c r="J24" s="122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0" t="s">
        <v>720</v>
      </c>
      <c r="J1" s="71">
        <v>45659</v>
      </c>
      <c r="K1" s="26"/>
      <c r="L1" s="26"/>
      <c r="M1" s="26"/>
    </row>
    <row r="2" spans="1:13" x14ac:dyDescent="0.3">
      <c r="A2" s="5" t="s">
        <v>177</v>
      </c>
      <c r="B2" s="5" t="s">
        <v>175</v>
      </c>
      <c r="C2" s="5" t="s">
        <v>722</v>
      </c>
      <c r="D2" s="87" t="s">
        <v>306</v>
      </c>
      <c r="E2" s="26"/>
      <c r="F2" s="81" t="s">
        <v>75</v>
      </c>
      <c r="G2" s="81" t="s">
        <v>482</v>
      </c>
      <c r="H2" s="81" t="s">
        <v>723</v>
      </c>
      <c r="I2" s="81" t="s">
        <v>722</v>
      </c>
      <c r="J2" s="86" t="s">
        <v>724</v>
      </c>
      <c r="K2" s="26"/>
      <c r="L2" s="26"/>
      <c r="M2" s="26"/>
    </row>
    <row r="3" spans="1:13" x14ac:dyDescent="0.3">
      <c r="A3" s="81" t="s">
        <v>725</v>
      </c>
      <c r="B3" s="81" t="s">
        <v>726</v>
      </c>
      <c r="C3" s="81" t="s">
        <v>727</v>
      </c>
      <c r="D3" s="100">
        <f t="shared" ref="D3:D11" si="0">DATE(MID(C3,1,2),MID(C3,3,2),MID(C3,5,2))</f>
        <v>32478</v>
      </c>
      <c r="E3" s="26"/>
      <c r="F3" s="81" t="s">
        <v>728</v>
      </c>
      <c r="G3" s="83" t="s">
        <v>238</v>
      </c>
      <c r="H3" s="73">
        <v>45010</v>
      </c>
      <c r="I3" s="83" t="s">
        <v>730</v>
      </c>
      <c r="J3" s="91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 x14ac:dyDescent="0.3">
      <c r="A4" s="81" t="s">
        <v>731</v>
      </c>
      <c r="B4" s="81" t="s">
        <v>732</v>
      </c>
      <c r="C4" s="81" t="s">
        <v>733</v>
      </c>
      <c r="D4" s="100">
        <f t="shared" si="0"/>
        <v>30522</v>
      </c>
      <c r="E4" s="26"/>
      <c r="F4" s="81" t="s">
        <v>734</v>
      </c>
      <c r="G4" s="83" t="s">
        <v>369</v>
      </c>
      <c r="H4" s="73">
        <v>42156</v>
      </c>
      <c r="I4" s="83" t="s">
        <v>735</v>
      </c>
      <c r="J4" s="91" t="str">
        <f t="shared" si="1"/>
        <v>10년차(40)</v>
      </c>
      <c r="K4" s="26"/>
      <c r="L4" s="26"/>
      <c r="M4" s="26"/>
    </row>
    <row r="5" spans="1:13" x14ac:dyDescent="0.3">
      <c r="A5" s="81" t="s">
        <v>736</v>
      </c>
      <c r="B5" s="81" t="s">
        <v>737</v>
      </c>
      <c r="C5" s="81" t="s">
        <v>738</v>
      </c>
      <c r="D5" s="100">
        <f t="shared" si="0"/>
        <v>31658</v>
      </c>
      <c r="E5" s="26"/>
      <c r="F5" s="81" t="s">
        <v>739</v>
      </c>
      <c r="G5" s="83" t="s">
        <v>224</v>
      </c>
      <c r="H5" s="73">
        <v>43398</v>
      </c>
      <c r="I5" s="83" t="s">
        <v>740</v>
      </c>
      <c r="J5" s="91" t="str">
        <f t="shared" si="1"/>
        <v>7년차(36)</v>
      </c>
      <c r="K5" s="26"/>
      <c r="L5" s="26"/>
      <c r="M5" s="26"/>
    </row>
    <row r="6" spans="1:13" x14ac:dyDescent="0.3">
      <c r="A6" s="81" t="s">
        <v>741</v>
      </c>
      <c r="B6" s="81" t="s">
        <v>742</v>
      </c>
      <c r="C6" s="81" t="s">
        <v>743</v>
      </c>
      <c r="D6" s="100">
        <f t="shared" si="0"/>
        <v>33833</v>
      </c>
      <c r="E6" s="26"/>
      <c r="F6" s="81" t="s">
        <v>744</v>
      </c>
      <c r="G6" s="83" t="s">
        <v>369</v>
      </c>
      <c r="H6" s="73">
        <v>42497</v>
      </c>
      <c r="I6" s="83" t="s">
        <v>745</v>
      </c>
      <c r="J6" s="91" t="str">
        <f t="shared" si="1"/>
        <v>9년차(41)</v>
      </c>
      <c r="K6" s="26"/>
      <c r="L6" s="26"/>
      <c r="M6" s="26"/>
    </row>
    <row r="7" spans="1:13" x14ac:dyDescent="0.3">
      <c r="A7" s="81" t="s">
        <v>746</v>
      </c>
      <c r="B7" s="81" t="s">
        <v>732</v>
      </c>
      <c r="C7" s="81" t="s">
        <v>747</v>
      </c>
      <c r="D7" s="100">
        <f t="shared" si="0"/>
        <v>30999</v>
      </c>
      <c r="E7" s="26"/>
      <c r="F7" s="81" t="s">
        <v>748</v>
      </c>
      <c r="G7" s="83" t="s">
        <v>232</v>
      </c>
      <c r="H7" s="73">
        <v>43199</v>
      </c>
      <c r="I7" s="83" t="s">
        <v>749</v>
      </c>
      <c r="J7" s="91" t="str">
        <f t="shared" si="1"/>
        <v>7년차(34)</v>
      </c>
      <c r="K7" s="26"/>
      <c r="L7" s="26"/>
      <c r="M7" s="26"/>
    </row>
    <row r="8" spans="1:13" x14ac:dyDescent="0.3">
      <c r="A8" s="81" t="s">
        <v>750</v>
      </c>
      <c r="B8" s="81" t="s">
        <v>726</v>
      </c>
      <c r="C8" s="81" t="s">
        <v>751</v>
      </c>
      <c r="D8" s="100">
        <f t="shared" si="0"/>
        <v>29882</v>
      </c>
      <c r="E8" s="26"/>
      <c r="F8" s="81" t="s">
        <v>752</v>
      </c>
      <c r="G8" s="83" t="s">
        <v>238</v>
      </c>
      <c r="H8" s="73">
        <v>44880</v>
      </c>
      <c r="I8" s="83" t="s">
        <v>753</v>
      </c>
      <c r="J8" s="91" t="str">
        <f t="shared" si="1"/>
        <v>3년차(30)</v>
      </c>
      <c r="K8" s="26"/>
      <c r="L8" s="26"/>
      <c r="M8" s="26"/>
    </row>
    <row r="9" spans="1:13" x14ac:dyDescent="0.3">
      <c r="A9" s="81" t="s">
        <v>754</v>
      </c>
      <c r="B9" s="81" t="s">
        <v>726</v>
      </c>
      <c r="C9" s="81" t="s">
        <v>755</v>
      </c>
      <c r="D9" s="100">
        <f t="shared" si="0"/>
        <v>33241</v>
      </c>
      <c r="E9" s="26"/>
      <c r="F9" s="81" t="s">
        <v>756</v>
      </c>
      <c r="G9" s="83" t="s">
        <v>224</v>
      </c>
      <c r="H9" s="73">
        <v>42751</v>
      </c>
      <c r="I9" s="83" t="s">
        <v>757</v>
      </c>
      <c r="J9" s="91" t="str">
        <f t="shared" si="1"/>
        <v>8년차(39)</v>
      </c>
      <c r="K9" s="26"/>
      <c r="L9" s="26"/>
      <c r="M9" s="26"/>
    </row>
    <row r="10" spans="1:13" x14ac:dyDescent="0.3">
      <c r="A10" s="81" t="s">
        <v>758</v>
      </c>
      <c r="B10" s="81" t="s">
        <v>742</v>
      </c>
      <c r="C10" s="81" t="s">
        <v>759</v>
      </c>
      <c r="D10" s="100">
        <f t="shared" si="0"/>
        <v>32357</v>
      </c>
      <c r="E10" s="26"/>
      <c r="F10" s="81" t="s">
        <v>760</v>
      </c>
      <c r="G10" s="83" t="s">
        <v>232</v>
      </c>
      <c r="H10" s="73">
        <v>44082</v>
      </c>
      <c r="I10" s="83" t="s">
        <v>762</v>
      </c>
      <c r="J10" s="91" t="str">
        <f t="shared" si="1"/>
        <v>5년차(36)</v>
      </c>
      <c r="K10" s="26"/>
      <c r="L10" s="26"/>
      <c r="M10" s="26"/>
    </row>
    <row r="11" spans="1:13" x14ac:dyDescent="0.3">
      <c r="A11" s="81" t="s">
        <v>763</v>
      </c>
      <c r="B11" s="81" t="s">
        <v>737</v>
      </c>
      <c r="C11" s="81" t="s">
        <v>765</v>
      </c>
      <c r="D11" s="100">
        <f t="shared" si="0"/>
        <v>33041</v>
      </c>
      <c r="E11" s="26"/>
      <c r="F11" s="81" t="s">
        <v>766</v>
      </c>
      <c r="G11" s="83" t="s">
        <v>232</v>
      </c>
      <c r="H11" s="73">
        <v>43690</v>
      </c>
      <c r="I11" s="83" t="s">
        <v>767</v>
      </c>
      <c r="J11" s="91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81" t="s">
        <v>177</v>
      </c>
      <c r="B14" s="81" t="s">
        <v>770</v>
      </c>
      <c r="C14" s="81" t="s">
        <v>771</v>
      </c>
      <c r="D14" s="86" t="s">
        <v>772</v>
      </c>
      <c r="E14" s="26"/>
      <c r="F14" s="81" t="s">
        <v>773</v>
      </c>
      <c r="G14" s="81" t="s">
        <v>774</v>
      </c>
      <c r="H14" s="81" t="s">
        <v>177</v>
      </c>
      <c r="I14" s="81" t="s">
        <v>306</v>
      </c>
      <c r="J14" s="86" t="s">
        <v>775</v>
      </c>
      <c r="K14" s="26"/>
      <c r="L14" s="148" t="s">
        <v>776</v>
      </c>
      <c r="M14" s="148"/>
    </row>
    <row r="15" spans="1:13" x14ac:dyDescent="0.3">
      <c r="A15" s="81" t="s">
        <v>777</v>
      </c>
      <c r="B15" s="72">
        <v>45748</v>
      </c>
      <c r="C15" s="81">
        <v>4</v>
      </c>
      <c r="D15" s="100">
        <f>WORKDAY(B15,C15)</f>
        <v>45754</v>
      </c>
      <c r="E15" s="26"/>
      <c r="F15" s="81">
        <v>5</v>
      </c>
      <c r="G15" s="81">
        <v>1</v>
      </c>
      <c r="H15" s="81" t="s">
        <v>778</v>
      </c>
      <c r="I15" s="72">
        <v>44990</v>
      </c>
      <c r="J15" s="91" t="str">
        <f>VLOOKUP(WEEKDAY(I15,2),$L$16:$M$22,2,0)</f>
        <v>일요일</v>
      </c>
      <c r="K15" s="26"/>
      <c r="L15" s="81" t="s">
        <v>69</v>
      </c>
      <c r="M15" s="81" t="s">
        <v>780</v>
      </c>
    </row>
    <row r="16" spans="1:13" x14ac:dyDescent="0.3">
      <c r="A16" s="81" t="s">
        <v>781</v>
      </c>
      <c r="B16" s="72">
        <v>45748</v>
      </c>
      <c r="C16" s="81">
        <v>8</v>
      </c>
      <c r="D16" s="100">
        <f t="shared" ref="D16:D24" si="2">WORKDAY(B16,C16)</f>
        <v>45758</v>
      </c>
      <c r="E16" s="26"/>
      <c r="F16" s="81">
        <v>5</v>
      </c>
      <c r="G16" s="81">
        <v>2</v>
      </c>
      <c r="H16" s="81" t="s">
        <v>782</v>
      </c>
      <c r="I16" s="72">
        <v>45187</v>
      </c>
      <c r="J16" s="91" t="str">
        <f t="shared" ref="J16:J24" si="3">VLOOKUP(WEEKDAY(I16,2),$L$16:$M$22,2,0)</f>
        <v>월요일</v>
      </c>
      <c r="K16" s="26"/>
      <c r="L16" s="81">
        <v>1</v>
      </c>
      <c r="M16" s="81" t="s">
        <v>783</v>
      </c>
    </row>
    <row r="17" spans="1:13" x14ac:dyDescent="0.3">
      <c r="A17" s="81" t="s">
        <v>784</v>
      </c>
      <c r="B17" s="72">
        <v>45748</v>
      </c>
      <c r="C17" s="81">
        <v>5</v>
      </c>
      <c r="D17" s="100">
        <f t="shared" si="2"/>
        <v>45755</v>
      </c>
      <c r="E17" s="26"/>
      <c r="F17" s="81">
        <v>5</v>
      </c>
      <c r="G17" s="81">
        <v>3</v>
      </c>
      <c r="H17" s="81" t="s">
        <v>785</v>
      </c>
      <c r="I17" s="72">
        <v>45098</v>
      </c>
      <c r="J17" s="91" t="str">
        <f t="shared" si="3"/>
        <v>수요일</v>
      </c>
      <c r="K17" s="26"/>
      <c r="L17" s="81">
        <v>2</v>
      </c>
      <c r="M17" s="81" t="s">
        <v>786</v>
      </c>
    </row>
    <row r="18" spans="1:13" x14ac:dyDescent="0.3">
      <c r="A18" s="81" t="s">
        <v>787</v>
      </c>
      <c r="B18" s="72">
        <v>45757</v>
      </c>
      <c r="C18" s="81">
        <v>6</v>
      </c>
      <c r="D18" s="100">
        <f t="shared" si="2"/>
        <v>45765</v>
      </c>
      <c r="E18" s="26"/>
      <c r="F18" s="81">
        <v>5</v>
      </c>
      <c r="G18" s="81">
        <v>4</v>
      </c>
      <c r="H18" s="81" t="s">
        <v>788</v>
      </c>
      <c r="I18" s="72">
        <v>45261</v>
      </c>
      <c r="J18" s="91" t="str">
        <f t="shared" si="3"/>
        <v>금요일</v>
      </c>
      <c r="K18" s="26"/>
      <c r="L18" s="81">
        <v>3</v>
      </c>
      <c r="M18" s="81" t="s">
        <v>789</v>
      </c>
    </row>
    <row r="19" spans="1:13" x14ac:dyDescent="0.3">
      <c r="A19" s="81" t="s">
        <v>790</v>
      </c>
      <c r="B19" s="72">
        <v>45757</v>
      </c>
      <c r="C19" s="81">
        <v>7</v>
      </c>
      <c r="D19" s="100">
        <f t="shared" si="2"/>
        <v>45768</v>
      </c>
      <c r="E19" s="26"/>
      <c r="F19" s="81">
        <v>5</v>
      </c>
      <c r="G19" s="81">
        <v>5</v>
      </c>
      <c r="H19" s="81" t="s">
        <v>791</v>
      </c>
      <c r="I19" s="72">
        <v>45132</v>
      </c>
      <c r="J19" s="91" t="str">
        <f t="shared" si="3"/>
        <v>화요일</v>
      </c>
      <c r="K19" s="26"/>
      <c r="L19" s="81">
        <v>4</v>
      </c>
      <c r="M19" s="81" t="s">
        <v>792</v>
      </c>
    </row>
    <row r="20" spans="1:13" x14ac:dyDescent="0.3">
      <c r="A20" s="81" t="s">
        <v>793</v>
      </c>
      <c r="B20" s="72">
        <v>45757</v>
      </c>
      <c r="C20" s="81">
        <v>9</v>
      </c>
      <c r="D20" s="100">
        <f t="shared" si="2"/>
        <v>45770</v>
      </c>
      <c r="E20" s="26"/>
      <c r="F20" s="81">
        <v>6</v>
      </c>
      <c r="G20" s="81">
        <v>1</v>
      </c>
      <c r="H20" s="81" t="s">
        <v>199</v>
      </c>
      <c r="I20" s="72">
        <v>44656</v>
      </c>
      <c r="J20" s="91" t="str">
        <f t="shared" si="3"/>
        <v>화요일</v>
      </c>
      <c r="K20" s="26"/>
      <c r="L20" s="81">
        <v>5</v>
      </c>
      <c r="M20" s="81" t="s">
        <v>795</v>
      </c>
    </row>
    <row r="21" spans="1:13" x14ac:dyDescent="0.3">
      <c r="A21" s="81" t="s">
        <v>796</v>
      </c>
      <c r="B21" s="72">
        <v>45757</v>
      </c>
      <c r="C21" s="81">
        <v>4</v>
      </c>
      <c r="D21" s="100">
        <f t="shared" si="2"/>
        <v>45763</v>
      </c>
      <c r="E21" s="26"/>
      <c r="F21" s="81">
        <v>6</v>
      </c>
      <c r="G21" s="81">
        <v>2</v>
      </c>
      <c r="H21" s="81" t="s">
        <v>797</v>
      </c>
      <c r="I21" s="72">
        <v>44786</v>
      </c>
      <c r="J21" s="91" t="str">
        <f t="shared" si="3"/>
        <v>토요일</v>
      </c>
      <c r="K21" s="26"/>
      <c r="L21" s="81">
        <v>6</v>
      </c>
      <c r="M21" s="81" t="s">
        <v>798</v>
      </c>
    </row>
    <row r="22" spans="1:13" x14ac:dyDescent="0.3">
      <c r="A22" s="81" t="s">
        <v>799</v>
      </c>
      <c r="B22" s="72">
        <v>45763</v>
      </c>
      <c r="C22" s="81">
        <v>8</v>
      </c>
      <c r="D22" s="100">
        <f t="shared" si="2"/>
        <v>45775</v>
      </c>
      <c r="E22" s="26"/>
      <c r="F22" s="81">
        <v>6</v>
      </c>
      <c r="G22" s="81">
        <v>3</v>
      </c>
      <c r="H22" s="81" t="s">
        <v>800</v>
      </c>
      <c r="I22" s="72">
        <v>44874</v>
      </c>
      <c r="J22" s="91" t="str">
        <f t="shared" si="3"/>
        <v>수요일</v>
      </c>
      <c r="K22" s="26"/>
      <c r="L22" s="81">
        <v>7</v>
      </c>
      <c r="M22" s="81" t="s">
        <v>801</v>
      </c>
    </row>
    <row r="23" spans="1:13" x14ac:dyDescent="0.3">
      <c r="A23" s="81" t="s">
        <v>802</v>
      </c>
      <c r="B23" s="72">
        <v>45763</v>
      </c>
      <c r="C23" s="81">
        <v>5</v>
      </c>
      <c r="D23" s="100">
        <f t="shared" si="2"/>
        <v>45770</v>
      </c>
      <c r="E23" s="26"/>
      <c r="F23" s="81">
        <v>6</v>
      </c>
      <c r="G23" s="81">
        <v>4</v>
      </c>
      <c r="H23" s="81" t="s">
        <v>803</v>
      </c>
      <c r="I23" s="72">
        <v>44753</v>
      </c>
      <c r="J23" s="91" t="str">
        <f t="shared" si="3"/>
        <v>월요일</v>
      </c>
      <c r="K23" s="26"/>
      <c r="L23" s="26"/>
      <c r="M23" s="26"/>
    </row>
    <row r="24" spans="1:13" x14ac:dyDescent="0.3">
      <c r="A24" s="81" t="s">
        <v>804</v>
      </c>
      <c r="B24" s="72">
        <v>45763</v>
      </c>
      <c r="C24" s="81">
        <v>7</v>
      </c>
      <c r="D24" s="100">
        <f t="shared" si="2"/>
        <v>45772</v>
      </c>
      <c r="E24" s="26"/>
      <c r="F24" s="81">
        <v>6</v>
      </c>
      <c r="G24" s="81">
        <v>5</v>
      </c>
      <c r="H24" s="81" t="s">
        <v>805</v>
      </c>
      <c r="I24" s="72">
        <v>44781</v>
      </c>
      <c r="J24" s="91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N26"/>
  <sheetViews>
    <sheetView tabSelected="1" topLeftCell="A10" zoomScale="175" zoomScaleNormal="175" workbookViewId="0">
      <selection activeCell="J13" sqref="J13"/>
    </sheetView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4" t="s">
        <v>806</v>
      </c>
      <c r="C1" s="34"/>
      <c r="D1" s="34"/>
      <c r="E1" s="26"/>
      <c r="F1" s="3" t="s">
        <v>807</v>
      </c>
      <c r="G1" s="75" t="s">
        <v>808</v>
      </c>
      <c r="H1" s="17"/>
      <c r="I1" s="7"/>
    </row>
    <row r="2" spans="1:9" x14ac:dyDescent="0.3">
      <c r="A2" s="35" t="s">
        <v>809</v>
      </c>
      <c r="B2" s="35" t="s">
        <v>177</v>
      </c>
      <c r="C2" s="35" t="s">
        <v>810</v>
      </c>
      <c r="D2" s="89" t="s">
        <v>780</v>
      </c>
      <c r="E2" s="26"/>
      <c r="F2" s="81" t="s">
        <v>811</v>
      </c>
      <c r="G2" s="81" t="s">
        <v>401</v>
      </c>
      <c r="H2" s="81" t="s">
        <v>813</v>
      </c>
      <c r="I2" s="86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35" t="str">
        <f>IF(WEEKDAY(C3,2)&lt;=5,"평일","주말")</f>
        <v>평일</v>
      </c>
      <c r="E3" s="26"/>
      <c r="F3" s="81" t="s">
        <v>817</v>
      </c>
      <c r="G3" s="81" t="s">
        <v>818</v>
      </c>
      <c r="H3" s="72">
        <v>41081</v>
      </c>
      <c r="I3" s="76">
        <f ca="1">YEAR(TODAY())-YEAR(H3)</f>
        <v>14</v>
      </c>
    </row>
    <row r="4" spans="1:9" x14ac:dyDescent="0.3">
      <c r="A4" s="35" t="s">
        <v>706</v>
      </c>
      <c r="B4" s="35" t="s">
        <v>819</v>
      </c>
      <c r="C4" s="36">
        <v>45954</v>
      </c>
      <c r="D4" s="35" t="str">
        <f t="shared" ref="D4:D9" si="0">IF(WEEKDAY(C4,2)&lt;=5,"평일","주말")</f>
        <v>평일</v>
      </c>
      <c r="E4" s="26"/>
      <c r="F4" s="81" t="s">
        <v>820</v>
      </c>
      <c r="G4" s="81" t="s">
        <v>821</v>
      </c>
      <c r="H4" s="72">
        <v>44726</v>
      </c>
      <c r="I4" s="76">
        <f t="shared" ref="I4:I9" ca="1" si="1">YEAR(TODAY())-YEAR(H4)</f>
        <v>4</v>
      </c>
    </row>
    <row r="5" spans="1:9" x14ac:dyDescent="0.3">
      <c r="A5" s="35" t="s">
        <v>204</v>
      </c>
      <c r="B5" s="35" t="s">
        <v>823</v>
      </c>
      <c r="C5" s="36">
        <v>45721</v>
      </c>
      <c r="D5" s="35" t="str">
        <f t="shared" si="0"/>
        <v>평일</v>
      </c>
      <c r="E5" s="26"/>
      <c r="F5" s="81" t="s">
        <v>824</v>
      </c>
      <c r="G5" s="81" t="s">
        <v>818</v>
      </c>
      <c r="H5" s="72">
        <v>44476</v>
      </c>
      <c r="I5" s="76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35" t="str">
        <f t="shared" si="0"/>
        <v>주말</v>
      </c>
      <c r="E6" s="26"/>
      <c r="F6" s="81" t="s">
        <v>826</v>
      </c>
      <c r="G6" s="81" t="s">
        <v>827</v>
      </c>
      <c r="H6" s="72">
        <v>44896</v>
      </c>
      <c r="I6" s="76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35" t="str">
        <f t="shared" si="0"/>
        <v>평일</v>
      </c>
      <c r="E7" s="26"/>
      <c r="F7" s="81" t="s">
        <v>830</v>
      </c>
      <c r="G7" s="81" t="s">
        <v>831</v>
      </c>
      <c r="H7" s="72">
        <v>44280</v>
      </c>
      <c r="I7" s="76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35" t="str">
        <f t="shared" si="0"/>
        <v>평일</v>
      </c>
      <c r="E8" s="26"/>
      <c r="F8" s="81" t="s">
        <v>834</v>
      </c>
      <c r="G8" s="81" t="s">
        <v>821</v>
      </c>
      <c r="H8" s="72">
        <v>45025</v>
      </c>
      <c r="I8" s="76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35" t="str">
        <f t="shared" si="0"/>
        <v>평일</v>
      </c>
      <c r="E9" s="26"/>
      <c r="F9" s="81" t="s">
        <v>837</v>
      </c>
      <c r="G9" s="81" t="s">
        <v>827</v>
      </c>
      <c r="H9" s="72">
        <v>43940</v>
      </c>
      <c r="I9" s="76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 x14ac:dyDescent="0.3">
      <c r="A12" s="77" t="s">
        <v>32</v>
      </c>
      <c r="B12" s="77" t="s">
        <v>839</v>
      </c>
      <c r="C12" s="90" t="s">
        <v>840</v>
      </c>
      <c r="D12" s="26"/>
      <c r="E12" s="26"/>
      <c r="F12" s="81" t="s">
        <v>841</v>
      </c>
      <c r="G12" s="81" t="s">
        <v>842</v>
      </c>
      <c r="H12" s="81" t="s">
        <v>843</v>
      </c>
      <c r="I12" s="86" t="s">
        <v>844</v>
      </c>
    </row>
    <row r="13" spans="1:9" x14ac:dyDescent="0.3">
      <c r="A13" s="77" t="s">
        <v>845</v>
      </c>
      <c r="B13" s="78">
        <v>46528</v>
      </c>
      <c r="C13" s="81">
        <f ca="1">_xlfn.DAYS(B13,TODAY())</f>
        <v>310</v>
      </c>
      <c r="D13" s="26"/>
      <c r="E13" s="26"/>
      <c r="F13" s="81" t="s">
        <v>846</v>
      </c>
      <c r="G13" s="81" t="s">
        <v>847</v>
      </c>
      <c r="H13" s="79">
        <v>0.54861111111111105</v>
      </c>
      <c r="I13" s="81" t="str">
        <f>HOUR(H13)&amp;"시"</f>
        <v>13시</v>
      </c>
    </row>
    <row r="14" spans="1:9" x14ac:dyDescent="0.3">
      <c r="A14" s="77" t="s">
        <v>848</v>
      </c>
      <c r="B14" s="78">
        <v>46499</v>
      </c>
      <c r="C14" s="122">
        <f t="shared" ref="C14:C20" ca="1" si="2">_xlfn.DAYS(B14,TODAY())</f>
        <v>281</v>
      </c>
      <c r="D14" s="26"/>
      <c r="E14" s="26"/>
      <c r="F14" s="81" t="s">
        <v>849</v>
      </c>
      <c r="G14" s="81" t="s">
        <v>850</v>
      </c>
      <c r="H14" s="79">
        <v>0.63194444444444442</v>
      </c>
      <c r="I14" s="122" t="str">
        <f t="shared" ref="I14:I17" si="3">HOUR(H14)&amp;"시"</f>
        <v>15시</v>
      </c>
    </row>
    <row r="15" spans="1:9" x14ac:dyDescent="0.3">
      <c r="A15" s="77" t="s">
        <v>851</v>
      </c>
      <c r="B15" s="78">
        <v>46410</v>
      </c>
      <c r="C15" s="122">
        <f t="shared" ca="1" si="2"/>
        <v>192</v>
      </c>
      <c r="D15" s="26"/>
      <c r="E15" s="26"/>
      <c r="F15" s="81" t="s">
        <v>852</v>
      </c>
      <c r="G15" s="81" t="s">
        <v>853</v>
      </c>
      <c r="H15" s="79">
        <v>0.59027777777777779</v>
      </c>
      <c r="I15" s="122" t="str">
        <f t="shared" si="3"/>
        <v>14시</v>
      </c>
    </row>
    <row r="16" spans="1:9" x14ac:dyDescent="0.3">
      <c r="A16" s="77" t="s">
        <v>854</v>
      </c>
      <c r="B16" s="78">
        <v>46592</v>
      </c>
      <c r="C16" s="122">
        <f t="shared" ca="1" si="2"/>
        <v>374</v>
      </c>
      <c r="D16" s="26"/>
      <c r="E16" s="26"/>
      <c r="F16" s="81" t="s">
        <v>179</v>
      </c>
      <c r="G16" s="81" t="s">
        <v>856</v>
      </c>
      <c r="H16" s="79">
        <v>0.63194444444444442</v>
      </c>
      <c r="I16" s="122" t="str">
        <f t="shared" si="3"/>
        <v>15시</v>
      </c>
    </row>
    <row r="17" spans="1:14" x14ac:dyDescent="0.3">
      <c r="A17" s="77" t="s">
        <v>857</v>
      </c>
      <c r="B17" s="78">
        <v>46471</v>
      </c>
      <c r="C17" s="122">
        <f t="shared" ca="1" si="2"/>
        <v>253</v>
      </c>
      <c r="D17" s="26"/>
      <c r="E17" s="26"/>
      <c r="F17" s="81" t="s">
        <v>858</v>
      </c>
      <c r="G17" s="81" t="s">
        <v>859</v>
      </c>
      <c r="H17" s="79">
        <v>0.54861111111111105</v>
      </c>
      <c r="I17" s="122" t="str">
        <f t="shared" si="3"/>
        <v>13시</v>
      </c>
    </row>
    <row r="18" spans="1:14" x14ac:dyDescent="0.3">
      <c r="A18" s="77" t="s">
        <v>860</v>
      </c>
      <c r="B18" s="78">
        <v>46505</v>
      </c>
      <c r="C18" s="122">
        <f t="shared" ca="1" si="2"/>
        <v>287</v>
      </c>
      <c r="D18" s="26"/>
      <c r="E18" s="26"/>
      <c r="F18" s="26"/>
      <c r="G18" s="26"/>
      <c r="H18" s="26"/>
      <c r="I18" s="26"/>
    </row>
    <row r="19" spans="1:14" x14ac:dyDescent="0.3">
      <c r="A19" s="77" t="s">
        <v>861</v>
      </c>
      <c r="B19" s="78">
        <v>46597</v>
      </c>
      <c r="C19" s="122">
        <f t="shared" ca="1" si="2"/>
        <v>379</v>
      </c>
      <c r="D19" s="26"/>
      <c r="E19" s="26"/>
      <c r="F19" s="4" t="s">
        <v>1153</v>
      </c>
      <c r="G19" s="4" t="s">
        <v>1154</v>
      </c>
      <c r="H19" s="26"/>
      <c r="I19" s="26"/>
    </row>
    <row r="20" spans="1:14" x14ac:dyDescent="0.3">
      <c r="A20" s="77" t="s">
        <v>862</v>
      </c>
      <c r="B20" s="78">
        <v>46568</v>
      </c>
      <c r="C20" s="122">
        <f t="shared" ca="1" si="2"/>
        <v>350</v>
      </c>
      <c r="D20" s="26"/>
      <c r="E20" s="26"/>
      <c r="F20" s="112" t="s">
        <v>1155</v>
      </c>
      <c r="G20" s="112" t="s">
        <v>1151</v>
      </c>
      <c r="H20" s="112" t="s">
        <v>1152</v>
      </c>
      <c r="I20" s="111" t="s">
        <v>1156</v>
      </c>
    </row>
    <row r="21" spans="1:14" x14ac:dyDescent="0.3">
      <c r="F21" s="112">
        <v>5587</v>
      </c>
      <c r="G21" s="113">
        <v>0.4375</v>
      </c>
      <c r="H21" s="113">
        <v>0.47916666666666669</v>
      </c>
      <c r="I21" s="114">
        <f>(HOUR(H21-G21)*60+MINUTE(H21-G21))/10*200</f>
        <v>1200</v>
      </c>
      <c r="J21" s="152">
        <f>HOUR(H21-G21)*60</f>
        <v>60</v>
      </c>
      <c r="K21">
        <f>MINUTE(H21-G21)</f>
        <v>0</v>
      </c>
      <c r="L21" s="152">
        <f>J21+K21</f>
        <v>60</v>
      </c>
      <c r="M21">
        <f>L21/10</f>
        <v>6</v>
      </c>
      <c r="N21">
        <f>M21*200</f>
        <v>1200</v>
      </c>
    </row>
    <row r="22" spans="1:14" x14ac:dyDescent="0.3">
      <c r="F22" s="112">
        <v>2896</v>
      </c>
      <c r="G22" s="113">
        <v>0.45833333333333331</v>
      </c>
      <c r="H22" s="113">
        <v>0.51388888888888895</v>
      </c>
      <c r="I22" s="114">
        <f t="shared" ref="I22:I26" si="4">(HOUR(H22-G22)*60+MINUTE(H22-G22))/10*200</f>
        <v>1600</v>
      </c>
      <c r="J22" s="152">
        <f t="shared" ref="J22:J26" si="5">HOUR(H22-G22)*60</f>
        <v>60</v>
      </c>
      <c r="K22">
        <f t="shared" ref="K22:K26" si="6">MINUTE(H22-G22)</f>
        <v>20</v>
      </c>
      <c r="L22" s="152">
        <f t="shared" ref="L22:L26" si="7">J22+K22</f>
        <v>80</v>
      </c>
      <c r="M22">
        <f t="shared" ref="M22:M26" si="8">L22/10</f>
        <v>8</v>
      </c>
      <c r="N22">
        <f t="shared" ref="N22:N26" si="9">M22*200</f>
        <v>1600</v>
      </c>
    </row>
    <row r="23" spans="1:14" x14ac:dyDescent="0.3">
      <c r="F23" s="112">
        <v>3578</v>
      </c>
      <c r="G23" s="113">
        <v>0.47916666666666702</v>
      </c>
      <c r="H23" s="113">
        <v>0.57638888888888895</v>
      </c>
      <c r="I23" s="114">
        <f t="shared" si="4"/>
        <v>2800</v>
      </c>
      <c r="J23" s="152">
        <f t="shared" si="5"/>
        <v>120</v>
      </c>
      <c r="K23">
        <f t="shared" si="6"/>
        <v>20</v>
      </c>
      <c r="L23" s="152">
        <f t="shared" si="7"/>
        <v>140</v>
      </c>
      <c r="M23">
        <f t="shared" si="8"/>
        <v>14</v>
      </c>
      <c r="N23">
        <f t="shared" si="9"/>
        <v>2800</v>
      </c>
    </row>
    <row r="24" spans="1:14" x14ac:dyDescent="0.3">
      <c r="F24" s="112">
        <v>6478</v>
      </c>
      <c r="G24" s="113">
        <v>0.5</v>
      </c>
      <c r="H24" s="113">
        <v>0.53472222222222221</v>
      </c>
      <c r="I24" s="114">
        <f t="shared" si="4"/>
        <v>1000</v>
      </c>
      <c r="J24" s="152">
        <f t="shared" si="5"/>
        <v>0</v>
      </c>
      <c r="K24">
        <f t="shared" si="6"/>
        <v>50</v>
      </c>
      <c r="L24" s="152">
        <f t="shared" si="7"/>
        <v>50</v>
      </c>
      <c r="M24">
        <f t="shared" si="8"/>
        <v>5</v>
      </c>
      <c r="N24">
        <f t="shared" si="9"/>
        <v>1000</v>
      </c>
    </row>
    <row r="25" spans="1:14" x14ac:dyDescent="0.3">
      <c r="F25" s="112">
        <v>4987</v>
      </c>
      <c r="G25" s="113">
        <v>0.52083333333333304</v>
      </c>
      <c r="H25" s="113">
        <v>0.63888888888888895</v>
      </c>
      <c r="I25" s="114">
        <f t="shared" si="4"/>
        <v>3400</v>
      </c>
      <c r="J25" s="152">
        <f t="shared" si="5"/>
        <v>120</v>
      </c>
      <c r="K25">
        <f t="shared" si="6"/>
        <v>50</v>
      </c>
      <c r="L25" s="152">
        <f t="shared" si="7"/>
        <v>170</v>
      </c>
      <c r="M25">
        <f t="shared" si="8"/>
        <v>17</v>
      </c>
      <c r="N25">
        <f t="shared" si="9"/>
        <v>3400</v>
      </c>
    </row>
    <row r="26" spans="1:14" x14ac:dyDescent="0.3">
      <c r="F26" s="112">
        <v>5791</v>
      </c>
      <c r="G26" s="113">
        <v>0.54166666666666696</v>
      </c>
      <c r="H26" s="113">
        <v>0.68055555555555547</v>
      </c>
      <c r="I26" s="114">
        <f t="shared" si="4"/>
        <v>4000</v>
      </c>
      <c r="J26" s="152">
        <f t="shared" si="5"/>
        <v>180</v>
      </c>
      <c r="K26">
        <f t="shared" si="6"/>
        <v>20</v>
      </c>
      <c r="L26" s="152">
        <f t="shared" si="7"/>
        <v>200</v>
      </c>
      <c r="M26">
        <f t="shared" si="8"/>
        <v>20</v>
      </c>
      <c r="N26">
        <f t="shared" si="9"/>
        <v>4000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214</v>
      </c>
      <c r="B1" s="74" t="s">
        <v>806</v>
      </c>
      <c r="C1" s="34"/>
      <c r="D1" s="34"/>
      <c r="E1" s="26"/>
      <c r="F1" s="3" t="s">
        <v>807</v>
      </c>
      <c r="G1" s="75" t="s">
        <v>808</v>
      </c>
      <c r="H1" s="17"/>
      <c r="I1" s="7"/>
    </row>
    <row r="2" spans="1:9" x14ac:dyDescent="0.3">
      <c r="A2" s="35" t="s">
        <v>809</v>
      </c>
      <c r="B2" s="35" t="s">
        <v>360</v>
      </c>
      <c r="C2" s="35" t="s">
        <v>810</v>
      </c>
      <c r="D2" s="89" t="s">
        <v>780</v>
      </c>
      <c r="E2" s="26"/>
      <c r="F2" s="2" t="s">
        <v>811</v>
      </c>
      <c r="G2" s="2" t="s">
        <v>812</v>
      </c>
      <c r="H2" s="2" t="s">
        <v>813</v>
      </c>
      <c r="I2" s="85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101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2">
        <v>41081</v>
      </c>
      <c r="I3" s="102">
        <f ca="1">YEAR(TODAY())-YEAR(H3)</f>
        <v>14</v>
      </c>
    </row>
    <row r="4" spans="1:9" x14ac:dyDescent="0.3">
      <c r="A4" s="35" t="s">
        <v>713</v>
      </c>
      <c r="B4" s="35" t="s">
        <v>819</v>
      </c>
      <c r="C4" s="36">
        <v>45954</v>
      </c>
      <c r="D4" s="101" t="str">
        <f t="shared" si="0"/>
        <v>평일</v>
      </c>
      <c r="E4" s="26"/>
      <c r="F4" s="2" t="s">
        <v>820</v>
      </c>
      <c r="G4" s="2" t="s">
        <v>821</v>
      </c>
      <c r="H4" s="72">
        <v>44726</v>
      </c>
      <c r="I4" s="102">
        <f t="shared" ref="I4:I9" ca="1" si="1">YEAR(TODAY())-YEAR(H4)</f>
        <v>4</v>
      </c>
    </row>
    <row r="5" spans="1:9" x14ac:dyDescent="0.3">
      <c r="A5" s="35" t="s">
        <v>822</v>
      </c>
      <c r="B5" s="35" t="s">
        <v>823</v>
      </c>
      <c r="C5" s="36">
        <v>45721</v>
      </c>
      <c r="D5" s="101" t="str">
        <f t="shared" si="0"/>
        <v>평일</v>
      </c>
      <c r="E5" s="26"/>
      <c r="F5" s="2" t="s">
        <v>824</v>
      </c>
      <c r="G5" s="2" t="s">
        <v>818</v>
      </c>
      <c r="H5" s="72">
        <v>44476</v>
      </c>
      <c r="I5" s="102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101" t="str">
        <f t="shared" si="0"/>
        <v>주말</v>
      </c>
      <c r="E6" s="26"/>
      <c r="F6" s="2" t="s">
        <v>826</v>
      </c>
      <c r="G6" s="2" t="s">
        <v>827</v>
      </c>
      <c r="H6" s="72">
        <v>44896</v>
      </c>
      <c r="I6" s="102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101" t="str">
        <f t="shared" si="0"/>
        <v>평일</v>
      </c>
      <c r="E7" s="26"/>
      <c r="F7" s="2" t="s">
        <v>830</v>
      </c>
      <c r="G7" s="2" t="s">
        <v>831</v>
      </c>
      <c r="H7" s="72">
        <v>44280</v>
      </c>
      <c r="I7" s="102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101" t="str">
        <f t="shared" si="0"/>
        <v>평일</v>
      </c>
      <c r="E8" s="26"/>
      <c r="F8" s="2" t="s">
        <v>834</v>
      </c>
      <c r="G8" s="2" t="s">
        <v>821</v>
      </c>
      <c r="H8" s="72">
        <v>45025</v>
      </c>
      <c r="I8" s="102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101" t="str">
        <f t="shared" si="0"/>
        <v>평일</v>
      </c>
      <c r="E9" s="26"/>
      <c r="F9" s="2" t="s">
        <v>837</v>
      </c>
      <c r="G9" s="2" t="s">
        <v>827</v>
      </c>
      <c r="H9" s="72">
        <v>43940</v>
      </c>
      <c r="I9" s="102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 x14ac:dyDescent="0.3">
      <c r="A12" s="77" t="s">
        <v>32</v>
      </c>
      <c r="B12" s="77" t="s">
        <v>839</v>
      </c>
      <c r="C12" s="90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5" t="s">
        <v>844</v>
      </c>
    </row>
    <row r="13" spans="1:9" x14ac:dyDescent="0.3">
      <c r="A13" s="77" t="s">
        <v>845</v>
      </c>
      <c r="B13" s="78">
        <v>46528</v>
      </c>
      <c r="C13" s="91">
        <f ca="1">_xlfn.DAYS(B13,TODAY())</f>
        <v>310</v>
      </c>
      <c r="D13" s="26"/>
      <c r="E13" s="26"/>
      <c r="F13" s="2" t="s">
        <v>846</v>
      </c>
      <c r="G13" s="2" t="s">
        <v>847</v>
      </c>
      <c r="H13" s="79">
        <v>0.54861111111111105</v>
      </c>
      <c r="I13" s="91" t="str">
        <f>HOUR(H13)&amp;"시"</f>
        <v>13시</v>
      </c>
    </row>
    <row r="14" spans="1:9" x14ac:dyDescent="0.3">
      <c r="A14" s="77" t="s">
        <v>848</v>
      </c>
      <c r="B14" s="78">
        <v>46499</v>
      </c>
      <c r="C14" s="91">
        <f t="shared" ref="C14:C20" ca="1" si="2">_xlfn.DAYS(B14,TODAY())</f>
        <v>281</v>
      </c>
      <c r="D14" s="26"/>
      <c r="E14" s="26"/>
      <c r="F14" s="2" t="s">
        <v>849</v>
      </c>
      <c r="G14" s="2" t="s">
        <v>850</v>
      </c>
      <c r="H14" s="79">
        <v>0.63194444444444442</v>
      </c>
      <c r="I14" s="91" t="str">
        <f t="shared" ref="I14:I17" si="3">HOUR(H14)&amp;"시"</f>
        <v>15시</v>
      </c>
    </row>
    <row r="15" spans="1:9" x14ac:dyDescent="0.3">
      <c r="A15" s="77" t="s">
        <v>851</v>
      </c>
      <c r="B15" s="78">
        <v>46410</v>
      </c>
      <c r="C15" s="91">
        <f t="shared" ca="1" si="2"/>
        <v>192</v>
      </c>
      <c r="D15" s="26"/>
      <c r="E15" s="26"/>
      <c r="F15" s="2" t="s">
        <v>852</v>
      </c>
      <c r="G15" s="2" t="s">
        <v>853</v>
      </c>
      <c r="H15" s="79">
        <v>0.59027777777777779</v>
      </c>
      <c r="I15" s="91" t="str">
        <f t="shared" si="3"/>
        <v>14시</v>
      </c>
    </row>
    <row r="16" spans="1:9" x14ac:dyDescent="0.3">
      <c r="A16" s="77" t="s">
        <v>854</v>
      </c>
      <c r="B16" s="78">
        <v>46592</v>
      </c>
      <c r="C16" s="91">
        <f t="shared" ca="1" si="2"/>
        <v>374</v>
      </c>
      <c r="D16" s="26"/>
      <c r="E16" s="26"/>
      <c r="F16" s="2" t="s">
        <v>855</v>
      </c>
      <c r="G16" s="2" t="s">
        <v>856</v>
      </c>
      <c r="H16" s="79">
        <v>0.63194444444444442</v>
      </c>
      <c r="I16" s="91" t="str">
        <f t="shared" si="3"/>
        <v>15시</v>
      </c>
    </row>
    <row r="17" spans="1:9" x14ac:dyDescent="0.3">
      <c r="A17" s="77" t="s">
        <v>857</v>
      </c>
      <c r="B17" s="78">
        <v>46471</v>
      </c>
      <c r="C17" s="91">
        <f t="shared" ca="1" si="2"/>
        <v>253</v>
      </c>
      <c r="D17" s="26"/>
      <c r="E17" s="26"/>
      <c r="F17" s="2" t="s">
        <v>858</v>
      </c>
      <c r="G17" s="2" t="s">
        <v>859</v>
      </c>
      <c r="H17" s="79">
        <v>0.54861111111111105</v>
      </c>
      <c r="I17" s="91" t="str">
        <f t="shared" si="3"/>
        <v>13시</v>
      </c>
    </row>
    <row r="18" spans="1:9" x14ac:dyDescent="0.3">
      <c r="A18" s="77" t="s">
        <v>860</v>
      </c>
      <c r="B18" s="78">
        <v>46505</v>
      </c>
      <c r="C18" s="91">
        <f t="shared" ca="1" si="2"/>
        <v>287</v>
      </c>
      <c r="D18" s="26"/>
      <c r="E18" s="26"/>
      <c r="F18" s="26"/>
      <c r="G18" s="26"/>
      <c r="H18" s="26"/>
      <c r="I18" s="26"/>
    </row>
    <row r="19" spans="1:9" x14ac:dyDescent="0.3">
      <c r="A19" s="77" t="s">
        <v>861</v>
      </c>
      <c r="B19" s="78">
        <v>46597</v>
      </c>
      <c r="C19" s="91">
        <f t="shared" ca="1" si="2"/>
        <v>379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7" t="s">
        <v>862</v>
      </c>
      <c r="B20" s="78">
        <v>46568</v>
      </c>
      <c r="C20" s="91">
        <f t="shared" ca="1" si="2"/>
        <v>350</v>
      </c>
      <c r="D20" s="26"/>
      <c r="E20" s="26"/>
      <c r="F20" s="112" t="s">
        <v>1155</v>
      </c>
      <c r="G20" s="112" t="s">
        <v>1151</v>
      </c>
      <c r="H20" s="112" t="s">
        <v>1152</v>
      </c>
      <c r="I20" s="111" t="s">
        <v>1156</v>
      </c>
    </row>
    <row r="21" spans="1:9" x14ac:dyDescent="0.3">
      <c r="F21" s="112">
        <v>5587</v>
      </c>
      <c r="G21" s="113">
        <v>0.4375</v>
      </c>
      <c r="H21" s="113">
        <v>0.47916666666666669</v>
      </c>
      <c r="I21" s="114">
        <f>(HOUR(H21-G21)*60+MINUTE(H21-G21))/10*200</f>
        <v>1200</v>
      </c>
    </row>
    <row r="22" spans="1:9" x14ac:dyDescent="0.3">
      <c r="F22" s="112">
        <v>2896</v>
      </c>
      <c r="G22" s="113">
        <v>0.45833333333333331</v>
      </c>
      <c r="H22" s="113">
        <v>0.51388888888888895</v>
      </c>
      <c r="I22" s="114">
        <f t="shared" ref="I22:I26" si="4">(HOUR(H22-G22)*60+MINUTE(H22-G22))/10*200</f>
        <v>1600</v>
      </c>
    </row>
    <row r="23" spans="1:9" x14ac:dyDescent="0.3">
      <c r="F23" s="112">
        <v>3578</v>
      </c>
      <c r="G23" s="113">
        <v>0.47916666666666702</v>
      </c>
      <c r="H23" s="113">
        <v>0.57638888888888895</v>
      </c>
      <c r="I23" s="114">
        <f t="shared" si="4"/>
        <v>2800</v>
      </c>
    </row>
    <row r="24" spans="1:9" x14ac:dyDescent="0.3">
      <c r="F24" s="112">
        <v>6478</v>
      </c>
      <c r="G24" s="113">
        <v>0.5</v>
      </c>
      <c r="H24" s="113">
        <v>0.53472222222222221</v>
      </c>
      <c r="I24" s="114">
        <f t="shared" si="4"/>
        <v>1000</v>
      </c>
    </row>
    <row r="25" spans="1:9" x14ac:dyDescent="0.3">
      <c r="F25" s="112">
        <v>4987</v>
      </c>
      <c r="G25" s="113">
        <v>0.52083333333333304</v>
      </c>
      <c r="H25" s="113">
        <v>0.63888888888888895</v>
      </c>
      <c r="I25" s="114">
        <f t="shared" si="4"/>
        <v>3400</v>
      </c>
    </row>
    <row r="26" spans="1:9" x14ac:dyDescent="0.3">
      <c r="F26" s="112">
        <v>5791</v>
      </c>
      <c r="G26" s="113">
        <v>0.54166666666666696</v>
      </c>
      <c r="H26" s="113">
        <v>0.68055555555555547</v>
      </c>
      <c r="I26" s="114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33"/>
  <sheetViews>
    <sheetView workbookViewId="0"/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5" t="s">
        <v>865</v>
      </c>
      <c r="B2" s="105" t="s">
        <v>866</v>
      </c>
      <c r="C2" s="105" t="s">
        <v>867</v>
      </c>
      <c r="D2" s="105" t="s">
        <v>868</v>
      </c>
      <c r="E2" s="106" t="s">
        <v>869</v>
      </c>
      <c r="F2" s="7"/>
      <c r="G2" s="105" t="s">
        <v>870</v>
      </c>
      <c r="H2" s="105" t="s">
        <v>871</v>
      </c>
      <c r="I2" s="106" t="s">
        <v>872</v>
      </c>
      <c r="J2" s="105" t="s">
        <v>873</v>
      </c>
    </row>
    <row r="3" spans="1:10" x14ac:dyDescent="0.3">
      <c r="A3" s="105">
        <v>1</v>
      </c>
      <c r="B3" s="105">
        <v>45</v>
      </c>
      <c r="C3" s="105" t="s">
        <v>874</v>
      </c>
      <c r="D3" s="105" t="s">
        <v>875</v>
      </c>
      <c r="E3" s="105"/>
      <c r="F3" s="7"/>
      <c r="G3" s="105" t="s">
        <v>876</v>
      </c>
      <c r="H3" s="105" t="s">
        <v>877</v>
      </c>
      <c r="I3" s="105"/>
      <c r="J3" s="105" t="s">
        <v>878</v>
      </c>
    </row>
    <row r="4" spans="1:10" x14ac:dyDescent="0.3">
      <c r="A4" s="105">
        <v>2</v>
      </c>
      <c r="B4" s="105">
        <v>43</v>
      </c>
      <c r="C4" s="105" t="s">
        <v>879</v>
      </c>
      <c r="D4" s="105" t="s">
        <v>880</v>
      </c>
      <c r="E4" s="105"/>
      <c r="F4" s="7"/>
      <c r="G4" s="105" t="s">
        <v>881</v>
      </c>
      <c r="H4" s="105" t="s">
        <v>882</v>
      </c>
      <c r="I4" s="105"/>
      <c r="J4" s="105" t="s">
        <v>883</v>
      </c>
    </row>
    <row r="5" spans="1:10" x14ac:dyDescent="0.3">
      <c r="A5" s="105">
        <v>3</v>
      </c>
      <c r="B5" s="105">
        <v>40</v>
      </c>
      <c r="C5" s="105" t="s">
        <v>884</v>
      </c>
      <c r="D5" s="105" t="s">
        <v>885</v>
      </c>
      <c r="E5" s="105"/>
      <c r="F5" s="7"/>
      <c r="G5" s="105" t="s">
        <v>886</v>
      </c>
      <c r="H5" s="105" t="s">
        <v>887</v>
      </c>
      <c r="I5" s="105"/>
      <c r="J5" s="105" t="s">
        <v>888</v>
      </c>
    </row>
    <row r="6" spans="1:10" x14ac:dyDescent="0.3">
      <c r="A6" s="105">
        <v>4</v>
      </c>
      <c r="B6" s="105">
        <v>39</v>
      </c>
      <c r="C6" s="105" t="s">
        <v>889</v>
      </c>
      <c r="D6" s="105" t="s">
        <v>890</v>
      </c>
      <c r="E6" s="105"/>
      <c r="F6" s="7"/>
      <c r="G6" s="105" t="s">
        <v>891</v>
      </c>
      <c r="H6" s="105" t="s">
        <v>892</v>
      </c>
      <c r="I6" s="105"/>
      <c r="J6" s="105" t="s">
        <v>893</v>
      </c>
    </row>
    <row r="7" spans="1:10" x14ac:dyDescent="0.3">
      <c r="A7" s="105">
        <v>5</v>
      </c>
      <c r="B7" s="105">
        <v>34</v>
      </c>
      <c r="C7" s="105" t="s">
        <v>894</v>
      </c>
      <c r="D7" s="105" t="s">
        <v>895</v>
      </c>
      <c r="E7" s="105"/>
      <c r="F7" s="7"/>
      <c r="G7" s="105" t="s">
        <v>896</v>
      </c>
      <c r="H7" s="105" t="s">
        <v>835</v>
      </c>
      <c r="I7" s="105"/>
      <c r="J7" s="105" t="s">
        <v>897</v>
      </c>
    </row>
    <row r="8" spans="1:10" x14ac:dyDescent="0.3">
      <c r="A8" s="105">
        <v>6</v>
      </c>
      <c r="B8" s="105">
        <v>32</v>
      </c>
      <c r="C8" s="105" t="s">
        <v>898</v>
      </c>
      <c r="D8" s="105" t="s">
        <v>899</v>
      </c>
      <c r="E8" s="105"/>
      <c r="F8" s="7"/>
      <c r="G8" s="105" t="s">
        <v>900</v>
      </c>
      <c r="H8" s="105" t="s">
        <v>901</v>
      </c>
      <c r="I8" s="105"/>
      <c r="J8" s="105" t="s">
        <v>902</v>
      </c>
    </row>
    <row r="9" spans="1:10" x14ac:dyDescent="0.3">
      <c r="A9" s="105">
        <v>7</v>
      </c>
      <c r="B9" s="105">
        <v>30</v>
      </c>
      <c r="C9" s="105" t="s">
        <v>903</v>
      </c>
      <c r="D9" s="105" t="s">
        <v>904</v>
      </c>
      <c r="E9" s="105"/>
      <c r="F9" s="7"/>
      <c r="G9" s="105" t="s">
        <v>905</v>
      </c>
      <c r="H9" s="105" t="s">
        <v>815</v>
      </c>
      <c r="I9" s="105"/>
      <c r="J9" s="105" t="s">
        <v>906</v>
      </c>
    </row>
    <row r="10" spans="1:10" x14ac:dyDescent="0.3">
      <c r="A10" s="105">
        <v>8</v>
      </c>
      <c r="B10" s="105">
        <v>29</v>
      </c>
      <c r="C10" s="105" t="s">
        <v>907</v>
      </c>
      <c r="D10" s="105" t="s">
        <v>908</v>
      </c>
      <c r="E10" s="105"/>
      <c r="F10" s="7"/>
      <c r="G10" s="105" t="s">
        <v>909</v>
      </c>
      <c r="H10" s="105" t="s">
        <v>910</v>
      </c>
      <c r="I10" s="105"/>
      <c r="J10" s="105" t="s">
        <v>911</v>
      </c>
    </row>
    <row r="11" spans="1:10" x14ac:dyDescent="0.3">
      <c r="A11" s="105">
        <v>9</v>
      </c>
      <c r="B11" s="105">
        <v>27</v>
      </c>
      <c r="C11" s="105" t="s">
        <v>912</v>
      </c>
      <c r="D11" s="105" t="s">
        <v>913</v>
      </c>
      <c r="E11" s="105"/>
      <c r="F11" s="7"/>
      <c r="G11" s="105" t="s">
        <v>914</v>
      </c>
      <c r="H11" s="105" t="s">
        <v>915</v>
      </c>
      <c r="I11" s="105"/>
      <c r="J11" s="105" t="s">
        <v>916</v>
      </c>
    </row>
    <row r="12" spans="1:10" x14ac:dyDescent="0.3">
      <c r="A12" s="105">
        <v>10</v>
      </c>
      <c r="B12" s="105">
        <v>26</v>
      </c>
      <c r="C12" s="105" t="s">
        <v>917</v>
      </c>
      <c r="D12" s="105" t="s">
        <v>918</v>
      </c>
      <c r="E12" s="105"/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 x14ac:dyDescent="0.3">
      <c r="A15" s="105" t="s">
        <v>921</v>
      </c>
      <c r="B15" s="105" t="s">
        <v>922</v>
      </c>
      <c r="C15" s="105" t="s">
        <v>923</v>
      </c>
      <c r="D15" s="106" t="s">
        <v>779</v>
      </c>
      <c r="E15" s="7"/>
      <c r="F15" s="7"/>
      <c r="G15" s="35" t="s">
        <v>924</v>
      </c>
      <c r="H15" s="35" t="s">
        <v>925</v>
      </c>
      <c r="I15" s="89" t="s">
        <v>926</v>
      </c>
      <c r="J15" s="7"/>
    </row>
    <row r="16" spans="1:10" x14ac:dyDescent="0.3">
      <c r="A16" s="105" t="s">
        <v>927</v>
      </c>
      <c r="B16" s="33">
        <v>35000</v>
      </c>
      <c r="C16" s="107">
        <v>65</v>
      </c>
      <c r="D16" s="105"/>
      <c r="E16" s="7"/>
      <c r="F16" s="7"/>
      <c r="G16" s="35" t="s">
        <v>928</v>
      </c>
      <c r="H16" s="36">
        <v>44622</v>
      </c>
      <c r="I16" s="35"/>
      <c r="J16" s="7"/>
    </row>
    <row r="17" spans="1:10" x14ac:dyDescent="0.3">
      <c r="A17" s="105" t="s">
        <v>929</v>
      </c>
      <c r="B17" s="33">
        <v>42000</v>
      </c>
      <c r="C17" s="107">
        <v>24</v>
      </c>
      <c r="D17" s="105"/>
      <c r="E17" s="7"/>
      <c r="F17" s="7"/>
      <c r="G17" s="35" t="s">
        <v>928</v>
      </c>
      <c r="H17" s="36">
        <v>44988</v>
      </c>
      <c r="I17" s="35"/>
      <c r="J17" s="7"/>
    </row>
    <row r="18" spans="1:10" x14ac:dyDescent="0.3">
      <c r="A18" s="105" t="s">
        <v>930</v>
      </c>
      <c r="B18" s="33">
        <v>31500</v>
      </c>
      <c r="C18" s="107">
        <v>22</v>
      </c>
      <c r="D18" s="105"/>
      <c r="E18" s="7"/>
      <c r="F18" s="7"/>
      <c r="G18" s="35" t="s">
        <v>931</v>
      </c>
      <c r="H18" s="36">
        <v>45353</v>
      </c>
      <c r="I18" s="35"/>
      <c r="J18" s="7"/>
    </row>
    <row r="19" spans="1:10" x14ac:dyDescent="0.3">
      <c r="A19" s="105" t="s">
        <v>932</v>
      </c>
      <c r="B19" s="33">
        <v>28000</v>
      </c>
      <c r="C19" s="107">
        <v>28</v>
      </c>
      <c r="D19" s="105"/>
      <c r="E19" s="7"/>
      <c r="F19" s="7"/>
      <c r="G19" s="35" t="s">
        <v>931</v>
      </c>
      <c r="H19" s="36">
        <v>44257</v>
      </c>
      <c r="I19" s="35"/>
      <c r="J19" s="7"/>
    </row>
    <row r="20" spans="1:10" x14ac:dyDescent="0.3">
      <c r="A20" s="105" t="s">
        <v>933</v>
      </c>
      <c r="B20" s="33">
        <v>30000</v>
      </c>
      <c r="C20" s="107">
        <v>19</v>
      </c>
      <c r="D20" s="105"/>
      <c r="E20" s="7"/>
      <c r="F20" s="7"/>
      <c r="G20" s="35" t="s">
        <v>934</v>
      </c>
      <c r="H20" s="36">
        <v>45718</v>
      </c>
      <c r="I20" s="35"/>
      <c r="J20" s="7"/>
    </row>
    <row r="21" spans="1:10" x14ac:dyDescent="0.3">
      <c r="A21" s="105" t="s">
        <v>935</v>
      </c>
      <c r="B21" s="33">
        <v>40000</v>
      </c>
      <c r="C21" s="107">
        <v>43</v>
      </c>
      <c r="D21" s="105"/>
      <c r="E21" s="7"/>
      <c r="F21" s="7"/>
      <c r="G21" s="35" t="s">
        <v>934</v>
      </c>
      <c r="H21" s="36">
        <v>44622</v>
      </c>
      <c r="I21" s="35"/>
      <c r="J21" s="7"/>
    </row>
    <row r="22" spans="1:10" x14ac:dyDescent="0.3">
      <c r="A22" s="105" t="s">
        <v>936</v>
      </c>
      <c r="B22" s="33">
        <v>29500</v>
      </c>
      <c r="C22" s="107">
        <v>33</v>
      </c>
      <c r="D22" s="105"/>
      <c r="E22" s="7"/>
      <c r="F22" s="7"/>
      <c r="G22" s="35" t="s">
        <v>937</v>
      </c>
      <c r="H22" s="36">
        <v>44987</v>
      </c>
      <c r="I22" s="35"/>
      <c r="J22" s="7"/>
    </row>
    <row r="23" spans="1:10" x14ac:dyDescent="0.3">
      <c r="A23" s="105" t="s">
        <v>938</v>
      </c>
      <c r="B23" s="33">
        <v>37000</v>
      </c>
      <c r="C23" s="107">
        <v>27</v>
      </c>
      <c r="D23" s="105"/>
      <c r="E23" s="7"/>
      <c r="F23" s="7"/>
      <c r="G23" s="35" t="s">
        <v>937</v>
      </c>
      <c r="H23" s="36">
        <v>45718</v>
      </c>
      <c r="I23" s="35"/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 x14ac:dyDescent="0.3">
      <c r="A26" s="105" t="s">
        <v>942</v>
      </c>
      <c r="B26" s="105" t="s">
        <v>943</v>
      </c>
      <c r="C26" s="105" t="s">
        <v>944</v>
      </c>
      <c r="D26" s="110" t="s">
        <v>945</v>
      </c>
      <c r="E26" s="7"/>
      <c r="F26" s="7"/>
      <c r="G26" s="108" t="s">
        <v>946</v>
      </c>
      <c r="H26" s="108" t="s">
        <v>947</v>
      </c>
      <c r="I26" s="108" t="s">
        <v>948</v>
      </c>
      <c r="J26" s="110" t="s">
        <v>949</v>
      </c>
    </row>
    <row r="27" spans="1:10" x14ac:dyDescent="0.3">
      <c r="A27" s="105" t="s">
        <v>950</v>
      </c>
      <c r="B27" s="72">
        <v>45972</v>
      </c>
      <c r="C27" s="105" t="s">
        <v>951</v>
      </c>
      <c r="D27" s="105"/>
      <c r="E27" s="7"/>
      <c r="F27" s="7"/>
      <c r="G27" s="80" t="s">
        <v>952</v>
      </c>
      <c r="H27" s="108" t="s">
        <v>953</v>
      </c>
      <c r="I27" s="105">
        <v>2023</v>
      </c>
      <c r="J27" s="108"/>
    </row>
    <row r="28" spans="1:10" x14ac:dyDescent="0.3">
      <c r="A28" s="105" t="s">
        <v>954</v>
      </c>
      <c r="B28" s="72">
        <v>45899</v>
      </c>
      <c r="C28" s="105" t="s">
        <v>955</v>
      </c>
      <c r="D28" s="105"/>
      <c r="E28" s="7"/>
      <c r="F28" s="7"/>
      <c r="G28" s="80" t="s">
        <v>956</v>
      </c>
      <c r="H28" s="108" t="s">
        <v>957</v>
      </c>
      <c r="I28" s="105">
        <v>2020</v>
      </c>
      <c r="J28" s="108"/>
    </row>
    <row r="29" spans="1:10" x14ac:dyDescent="0.3">
      <c r="A29" s="105" t="s">
        <v>958</v>
      </c>
      <c r="B29" s="72">
        <v>46021</v>
      </c>
      <c r="C29" s="105" t="s">
        <v>959</v>
      </c>
      <c r="D29" s="105"/>
      <c r="E29" s="7"/>
      <c r="F29" s="7"/>
      <c r="G29" s="80" t="s">
        <v>960</v>
      </c>
      <c r="H29" s="108" t="s">
        <v>961</v>
      </c>
      <c r="I29" s="105">
        <v>2022</v>
      </c>
      <c r="J29" s="108"/>
    </row>
    <row r="30" spans="1:10" x14ac:dyDescent="0.3">
      <c r="A30" s="105" t="s">
        <v>962</v>
      </c>
      <c r="B30" s="72">
        <v>45945</v>
      </c>
      <c r="C30" s="105" t="s">
        <v>963</v>
      </c>
      <c r="D30" s="105"/>
      <c r="E30" s="7"/>
      <c r="F30" s="7"/>
      <c r="G30" s="80" t="s">
        <v>964</v>
      </c>
      <c r="H30" s="108" t="s">
        <v>965</v>
      </c>
      <c r="I30" s="105">
        <v>2023</v>
      </c>
      <c r="J30" s="108"/>
    </row>
    <row r="31" spans="1:10" x14ac:dyDescent="0.3">
      <c r="A31" s="105" t="s">
        <v>966</v>
      </c>
      <c r="B31" s="72">
        <v>45983</v>
      </c>
      <c r="C31" s="105" t="s">
        <v>967</v>
      </c>
      <c r="D31" s="105"/>
      <c r="E31" s="7"/>
      <c r="F31" s="7"/>
      <c r="G31" s="80" t="s">
        <v>968</v>
      </c>
      <c r="H31" s="108" t="s">
        <v>969</v>
      </c>
      <c r="I31" s="105">
        <v>2020</v>
      </c>
      <c r="J31" s="108"/>
    </row>
    <row r="32" spans="1:10" x14ac:dyDescent="0.3">
      <c r="A32" s="105" t="s">
        <v>970</v>
      </c>
      <c r="B32" s="72">
        <v>46001</v>
      </c>
      <c r="C32" s="105" t="s">
        <v>971</v>
      </c>
      <c r="D32" s="105"/>
      <c r="E32" s="7"/>
      <c r="F32" s="7"/>
      <c r="G32" s="80" t="s">
        <v>972</v>
      </c>
      <c r="H32" s="108" t="s">
        <v>973</v>
      </c>
      <c r="I32" s="105">
        <v>2024</v>
      </c>
      <c r="J32" s="108"/>
    </row>
    <row r="33" spans="1:10" x14ac:dyDescent="0.3">
      <c r="A33" s="105" t="s">
        <v>974</v>
      </c>
      <c r="B33" s="72">
        <v>45903</v>
      </c>
      <c r="C33" s="105" t="s">
        <v>975</v>
      </c>
      <c r="D33" s="105"/>
      <c r="E33" s="7"/>
      <c r="F33" s="7"/>
      <c r="G33" s="80" t="s">
        <v>976</v>
      </c>
      <c r="H33" s="108" t="s">
        <v>977</v>
      </c>
      <c r="I33" s="105">
        <v>2022</v>
      </c>
      <c r="J33" s="108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5" t="s">
        <v>865</v>
      </c>
      <c r="B2" s="105" t="s">
        <v>866</v>
      </c>
      <c r="C2" s="105" t="s">
        <v>476</v>
      </c>
      <c r="D2" s="105" t="s">
        <v>868</v>
      </c>
      <c r="E2" s="106" t="s">
        <v>869</v>
      </c>
      <c r="F2" s="7"/>
      <c r="G2" s="105" t="s">
        <v>177</v>
      </c>
      <c r="H2" s="105" t="s">
        <v>175</v>
      </c>
      <c r="I2" s="106" t="s">
        <v>872</v>
      </c>
      <c r="J2" s="105" t="s">
        <v>873</v>
      </c>
    </row>
    <row r="3" spans="1:10" x14ac:dyDescent="0.3">
      <c r="A3" s="105">
        <v>1</v>
      </c>
      <c r="B3" s="105">
        <v>45</v>
      </c>
      <c r="C3" s="105" t="s">
        <v>874</v>
      </c>
      <c r="D3" s="105" t="s">
        <v>875</v>
      </c>
      <c r="E3" s="91" t="str">
        <f>PROPER(D3)&amp;"("&amp;UPPER(C3)&amp;")"</f>
        <v>Kimkh(EAGLES)</v>
      </c>
      <c r="F3" s="7"/>
      <c r="G3" s="105" t="s">
        <v>876</v>
      </c>
      <c r="H3" s="105" t="s">
        <v>706</v>
      </c>
      <c r="I3" s="91" t="str">
        <f>MID(J3,1,SEARCH("@",J3,1)-1)</f>
        <v>love99</v>
      </c>
      <c r="J3" s="105" t="s">
        <v>878</v>
      </c>
    </row>
    <row r="4" spans="1:10" x14ac:dyDescent="0.3">
      <c r="A4" s="105">
        <v>2</v>
      </c>
      <c r="B4" s="105">
        <v>43</v>
      </c>
      <c r="C4" s="105" t="s">
        <v>879</v>
      </c>
      <c r="D4" s="105" t="s">
        <v>880</v>
      </c>
      <c r="E4" s="91" t="str">
        <f t="shared" ref="E4:E12" si="0">PROPER(D4)&amp;"("&amp;UPPER(C4)&amp;")"</f>
        <v>Leesy(HEROES)</v>
      </c>
      <c r="F4" s="7"/>
      <c r="G4" s="105" t="s">
        <v>881</v>
      </c>
      <c r="H4" s="105" t="s">
        <v>882</v>
      </c>
      <c r="I4" s="91" t="str">
        <f t="shared" ref="I4:I11" si="1">MID(J4,1,SEARCH("@",J4,1)-1)</f>
        <v>muakiea</v>
      </c>
      <c r="J4" s="105" t="s">
        <v>883</v>
      </c>
    </row>
    <row r="5" spans="1:10" x14ac:dyDescent="0.3">
      <c r="A5" s="105">
        <v>3</v>
      </c>
      <c r="B5" s="105">
        <v>40</v>
      </c>
      <c r="C5" s="105" t="s">
        <v>884</v>
      </c>
      <c r="D5" s="105" t="s">
        <v>885</v>
      </c>
      <c r="E5" s="91" t="str">
        <f t="shared" si="0"/>
        <v>Parkjm(LIONS)</v>
      </c>
      <c r="F5" s="7"/>
      <c r="G5" s="105" t="s">
        <v>886</v>
      </c>
      <c r="H5" s="105" t="s">
        <v>828</v>
      </c>
      <c r="I5" s="91" t="str">
        <f t="shared" si="1"/>
        <v>starcmk</v>
      </c>
      <c r="J5" s="105" t="s">
        <v>888</v>
      </c>
    </row>
    <row r="6" spans="1:10" x14ac:dyDescent="0.3">
      <c r="A6" s="105">
        <v>4</v>
      </c>
      <c r="B6" s="105">
        <v>39</v>
      </c>
      <c r="C6" s="105" t="s">
        <v>889</v>
      </c>
      <c r="D6" s="105" t="s">
        <v>890</v>
      </c>
      <c r="E6" s="91" t="str">
        <f t="shared" si="0"/>
        <v>Kimjk(BEARS)</v>
      </c>
      <c r="F6" s="7"/>
      <c r="G6" s="105" t="s">
        <v>891</v>
      </c>
      <c r="H6" s="105" t="s">
        <v>708</v>
      </c>
      <c r="I6" s="91" t="str">
        <f t="shared" si="1"/>
        <v>99023</v>
      </c>
      <c r="J6" s="105" t="s">
        <v>893</v>
      </c>
    </row>
    <row r="7" spans="1:10" x14ac:dyDescent="0.3">
      <c r="A7" s="105">
        <v>5</v>
      </c>
      <c r="B7" s="105">
        <v>34</v>
      </c>
      <c r="C7" s="105" t="s">
        <v>894</v>
      </c>
      <c r="D7" s="105" t="s">
        <v>895</v>
      </c>
      <c r="E7" s="91" t="str">
        <f t="shared" si="0"/>
        <v>Yoonbw(KTWIZ)</v>
      </c>
      <c r="F7" s="7"/>
      <c r="G7" s="105" t="s">
        <v>896</v>
      </c>
      <c r="H7" s="105" t="s">
        <v>835</v>
      </c>
      <c r="I7" s="91" t="str">
        <f t="shared" si="1"/>
        <v>yses</v>
      </c>
      <c r="J7" s="105" t="s">
        <v>897</v>
      </c>
    </row>
    <row r="8" spans="1:10" x14ac:dyDescent="0.3">
      <c r="A8" s="105">
        <v>6</v>
      </c>
      <c r="B8" s="105">
        <v>32</v>
      </c>
      <c r="C8" s="105" t="s">
        <v>898</v>
      </c>
      <c r="D8" s="105" t="s">
        <v>899</v>
      </c>
      <c r="E8" s="91" t="str">
        <f t="shared" si="0"/>
        <v>Ohsh(TIGERS)</v>
      </c>
      <c r="F8" s="7"/>
      <c r="G8" s="105" t="s">
        <v>900</v>
      </c>
      <c r="H8" s="105" t="s">
        <v>901</v>
      </c>
      <c r="I8" s="91" t="str">
        <f t="shared" si="1"/>
        <v>newlive</v>
      </c>
      <c r="J8" s="105" t="s">
        <v>902</v>
      </c>
    </row>
    <row r="9" spans="1:10" x14ac:dyDescent="0.3">
      <c r="A9" s="105">
        <v>7</v>
      </c>
      <c r="B9" s="105">
        <v>30</v>
      </c>
      <c r="C9" s="105" t="s">
        <v>903</v>
      </c>
      <c r="D9" s="105" t="s">
        <v>904</v>
      </c>
      <c r="E9" s="91" t="str">
        <f t="shared" si="0"/>
        <v>Songhm(TWINS)</v>
      </c>
      <c r="F9" s="7"/>
      <c r="G9" s="105" t="s">
        <v>905</v>
      </c>
      <c r="H9" s="105" t="s">
        <v>815</v>
      </c>
      <c r="I9" s="91" t="str">
        <f t="shared" si="1"/>
        <v>0908ar</v>
      </c>
      <c r="J9" s="105" t="s">
        <v>906</v>
      </c>
    </row>
    <row r="10" spans="1:10" x14ac:dyDescent="0.3">
      <c r="A10" s="105">
        <v>8</v>
      </c>
      <c r="B10" s="105">
        <v>29</v>
      </c>
      <c r="C10" s="105" t="s">
        <v>907</v>
      </c>
      <c r="D10" s="105" t="s">
        <v>908</v>
      </c>
      <c r="E10" s="91" t="str">
        <f t="shared" si="0"/>
        <v>Jangjb(DINOS)</v>
      </c>
      <c r="F10" s="7"/>
      <c r="G10" s="105" t="s">
        <v>909</v>
      </c>
      <c r="H10" s="105" t="s">
        <v>910</v>
      </c>
      <c r="I10" s="91" t="str">
        <f t="shared" si="1"/>
        <v>tenhour</v>
      </c>
      <c r="J10" s="105" t="s">
        <v>911</v>
      </c>
    </row>
    <row r="11" spans="1:10" x14ac:dyDescent="0.3">
      <c r="A11" s="105">
        <v>9</v>
      </c>
      <c r="B11" s="105">
        <v>27</v>
      </c>
      <c r="C11" s="105" t="s">
        <v>912</v>
      </c>
      <c r="D11" s="105" t="s">
        <v>913</v>
      </c>
      <c r="E11" s="91" t="str">
        <f t="shared" si="0"/>
        <v>Haneh(GIANTS)</v>
      </c>
      <c r="F11" s="7"/>
      <c r="G11" s="105" t="s">
        <v>914</v>
      </c>
      <c r="H11" s="105" t="s">
        <v>832</v>
      </c>
      <c r="I11" s="91" t="str">
        <f t="shared" si="1"/>
        <v>kji1004</v>
      </c>
      <c r="J11" s="105" t="s">
        <v>916</v>
      </c>
    </row>
    <row r="12" spans="1:10" x14ac:dyDescent="0.3">
      <c r="A12" s="105">
        <v>10</v>
      </c>
      <c r="B12" s="105">
        <v>26</v>
      </c>
      <c r="C12" s="105" t="s">
        <v>917</v>
      </c>
      <c r="D12" s="105" t="s">
        <v>918</v>
      </c>
      <c r="E12" s="91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 x14ac:dyDescent="0.3">
      <c r="A15" s="105" t="s">
        <v>120</v>
      </c>
      <c r="B15" s="105" t="s">
        <v>123</v>
      </c>
      <c r="C15" s="105" t="s">
        <v>76</v>
      </c>
      <c r="D15" s="106" t="s">
        <v>69</v>
      </c>
      <c r="E15" s="7"/>
      <c r="F15" s="7"/>
      <c r="G15" s="35" t="s">
        <v>304</v>
      </c>
      <c r="H15" s="35" t="s">
        <v>925</v>
      </c>
      <c r="I15" s="89" t="s">
        <v>926</v>
      </c>
      <c r="J15" s="7"/>
    </row>
    <row r="16" spans="1:10" x14ac:dyDescent="0.3">
      <c r="A16" s="105" t="s">
        <v>927</v>
      </c>
      <c r="B16" s="33">
        <v>35000</v>
      </c>
      <c r="C16" s="107">
        <v>65</v>
      </c>
      <c r="D16" s="91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1" t="str">
        <f>LOWER(LEFT(G16,3)&amp;YEAR(H16))</f>
        <v>hea2022</v>
      </c>
      <c r="J16" s="7"/>
    </row>
    <row r="17" spans="1:10" x14ac:dyDescent="0.3">
      <c r="A17" s="105" t="s">
        <v>929</v>
      </c>
      <c r="B17" s="33">
        <v>42000</v>
      </c>
      <c r="C17" s="107">
        <v>24</v>
      </c>
      <c r="D17" s="91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1" t="str">
        <f t="shared" ref="I17:I23" si="3">LOWER(LEFT(G17,3)&amp;YEAR(H17))</f>
        <v>hea2023</v>
      </c>
      <c r="J17" s="7"/>
    </row>
    <row r="18" spans="1:10" x14ac:dyDescent="0.3">
      <c r="A18" s="105" t="s">
        <v>930</v>
      </c>
      <c r="B18" s="33">
        <v>31500</v>
      </c>
      <c r="C18" s="107">
        <v>22</v>
      </c>
      <c r="D18" s="91" t="str">
        <f t="shared" si="2"/>
        <v>여성용</v>
      </c>
      <c r="E18" s="7"/>
      <c r="F18" s="7"/>
      <c r="G18" s="35" t="s">
        <v>931</v>
      </c>
      <c r="H18" s="36">
        <v>45353</v>
      </c>
      <c r="I18" s="101" t="str">
        <f t="shared" si="3"/>
        <v>com2024</v>
      </c>
      <c r="J18" s="7"/>
    </row>
    <row r="19" spans="1:10" x14ac:dyDescent="0.3">
      <c r="A19" s="105" t="s">
        <v>932</v>
      </c>
      <c r="B19" s="33">
        <v>28000</v>
      </c>
      <c r="C19" s="107">
        <v>28</v>
      </c>
      <c r="D19" s="91" t="str">
        <f t="shared" si="2"/>
        <v>남성용</v>
      </c>
      <c r="E19" s="7"/>
      <c r="F19" s="7"/>
      <c r="G19" s="35" t="s">
        <v>931</v>
      </c>
      <c r="H19" s="36">
        <v>44257</v>
      </c>
      <c r="I19" s="101" t="str">
        <f t="shared" si="3"/>
        <v>com2021</v>
      </c>
      <c r="J19" s="7"/>
    </row>
    <row r="20" spans="1:10" x14ac:dyDescent="0.3">
      <c r="A20" s="105" t="s">
        <v>933</v>
      </c>
      <c r="B20" s="33">
        <v>30000</v>
      </c>
      <c r="C20" s="107">
        <v>19</v>
      </c>
      <c r="D20" s="91" t="str">
        <f t="shared" si="2"/>
        <v>여성용</v>
      </c>
      <c r="E20" s="7"/>
      <c r="F20" s="7"/>
      <c r="G20" s="35" t="s">
        <v>934</v>
      </c>
      <c r="H20" s="36">
        <v>45718</v>
      </c>
      <c r="I20" s="101" t="str">
        <f t="shared" si="3"/>
        <v>des2025</v>
      </c>
      <c r="J20" s="7"/>
    </row>
    <row r="21" spans="1:10" x14ac:dyDescent="0.3">
      <c r="A21" s="105" t="s">
        <v>935</v>
      </c>
      <c r="B21" s="33">
        <v>40000</v>
      </c>
      <c r="C21" s="107">
        <v>43</v>
      </c>
      <c r="D21" s="91" t="str">
        <f t="shared" si="2"/>
        <v>남성용</v>
      </c>
      <c r="E21" s="7"/>
      <c r="F21" s="7"/>
      <c r="G21" s="35" t="s">
        <v>934</v>
      </c>
      <c r="H21" s="36">
        <v>44622</v>
      </c>
      <c r="I21" s="101" t="str">
        <f t="shared" si="3"/>
        <v>des2022</v>
      </c>
      <c r="J21" s="7"/>
    </row>
    <row r="22" spans="1:10" x14ac:dyDescent="0.3">
      <c r="A22" s="105" t="s">
        <v>936</v>
      </c>
      <c r="B22" s="33">
        <v>29500</v>
      </c>
      <c r="C22" s="107">
        <v>33</v>
      </c>
      <c r="D22" s="91" t="str">
        <f t="shared" si="2"/>
        <v>아웃도어</v>
      </c>
      <c r="E22" s="7"/>
      <c r="F22" s="7"/>
      <c r="G22" s="35" t="s">
        <v>937</v>
      </c>
      <c r="H22" s="36">
        <v>44987</v>
      </c>
      <c r="I22" s="101" t="str">
        <f t="shared" si="3"/>
        <v>art2023</v>
      </c>
      <c r="J22" s="7"/>
    </row>
    <row r="23" spans="1:10" x14ac:dyDescent="0.3">
      <c r="A23" s="105" t="s">
        <v>938</v>
      </c>
      <c r="B23" s="33">
        <v>37000</v>
      </c>
      <c r="C23" s="107">
        <v>27</v>
      </c>
      <c r="D23" s="91" t="str">
        <f t="shared" si="2"/>
        <v>아웃도어</v>
      </c>
      <c r="E23" s="7"/>
      <c r="F23" s="7"/>
      <c r="G23" s="35" t="s">
        <v>937</v>
      </c>
      <c r="H23" s="36">
        <v>45718</v>
      </c>
      <c r="I23" s="101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 x14ac:dyDescent="0.3">
      <c r="A26" s="105" t="s">
        <v>942</v>
      </c>
      <c r="B26" s="105" t="s">
        <v>943</v>
      </c>
      <c r="C26" s="105" t="s">
        <v>944</v>
      </c>
      <c r="D26" s="110" t="s">
        <v>945</v>
      </c>
      <c r="E26" s="7"/>
      <c r="F26" s="7"/>
      <c r="G26" s="108" t="s">
        <v>946</v>
      </c>
      <c r="H26" s="108" t="s">
        <v>947</v>
      </c>
      <c r="I26" s="108" t="s">
        <v>948</v>
      </c>
      <c r="J26" s="110" t="s">
        <v>949</v>
      </c>
    </row>
    <row r="27" spans="1:10" x14ac:dyDescent="0.3">
      <c r="A27" s="105" t="s">
        <v>950</v>
      </c>
      <c r="B27" s="72">
        <v>45972</v>
      </c>
      <c r="C27" s="105" t="s">
        <v>951</v>
      </c>
      <c r="D27" s="91" t="str">
        <f>UPPER(A27) &amp; "-" &amp; MONTH(B27) &amp; "-" &amp; UPPER(C27)</f>
        <v>AG-11-W</v>
      </c>
      <c r="E27" s="7"/>
      <c r="F27" s="7"/>
      <c r="G27" s="80" t="s">
        <v>952</v>
      </c>
      <c r="H27" s="108" t="s">
        <v>953</v>
      </c>
      <c r="I27" s="105">
        <v>2023</v>
      </c>
      <c r="J27" s="109" t="str">
        <f>UPPER(TRIM(G27))&amp;"-KR"</f>
        <v>MNG-002-KR</v>
      </c>
    </row>
    <row r="28" spans="1:10" x14ac:dyDescent="0.3">
      <c r="A28" s="105" t="s">
        <v>954</v>
      </c>
      <c r="B28" s="72">
        <v>45899</v>
      </c>
      <c r="C28" s="105" t="s">
        <v>955</v>
      </c>
      <c r="D28" s="91" t="str">
        <f t="shared" ref="D28:D33" si="4">UPPER(A28) &amp; "-" &amp; MONTH(B28) &amp; "-" &amp; UPPER(C28)</f>
        <v>RF-8-E</v>
      </c>
      <c r="E28" s="7"/>
      <c r="F28" s="7"/>
      <c r="G28" s="80" t="s">
        <v>956</v>
      </c>
      <c r="H28" s="108" t="s">
        <v>957</v>
      </c>
      <c r="I28" s="105">
        <v>2020</v>
      </c>
      <c r="J28" s="109" t="str">
        <f t="shared" ref="J28:J33" si="5">UPPER(TRIM(G28))&amp;"-KR"</f>
        <v>PSY-523-KR</v>
      </c>
    </row>
    <row r="29" spans="1:10" x14ac:dyDescent="0.3">
      <c r="A29" s="105" t="s">
        <v>958</v>
      </c>
      <c r="B29" s="72">
        <v>46021</v>
      </c>
      <c r="C29" s="105" t="s">
        <v>959</v>
      </c>
      <c r="D29" s="91" t="str">
        <f t="shared" si="4"/>
        <v>DK-12-F</v>
      </c>
      <c r="E29" s="7"/>
      <c r="F29" s="7"/>
      <c r="G29" s="80" t="s">
        <v>960</v>
      </c>
      <c r="H29" s="108" t="s">
        <v>961</v>
      </c>
      <c r="I29" s="105">
        <v>2022</v>
      </c>
      <c r="J29" s="109" t="str">
        <f t="shared" si="5"/>
        <v>MNG-091-KR</v>
      </c>
    </row>
    <row r="30" spans="1:10" x14ac:dyDescent="0.3">
      <c r="A30" s="105" t="s">
        <v>962</v>
      </c>
      <c r="B30" s="72">
        <v>45945</v>
      </c>
      <c r="C30" s="105" t="s">
        <v>963</v>
      </c>
      <c r="D30" s="91" t="str">
        <f t="shared" si="4"/>
        <v>IK-10-D</v>
      </c>
      <c r="E30" s="7"/>
      <c r="F30" s="7"/>
      <c r="G30" s="80" t="s">
        <v>964</v>
      </c>
      <c r="H30" s="108" t="s">
        <v>965</v>
      </c>
      <c r="I30" s="105">
        <v>2023</v>
      </c>
      <c r="J30" s="109" t="str">
        <f t="shared" si="5"/>
        <v>PSY-725-KR</v>
      </c>
    </row>
    <row r="31" spans="1:10" x14ac:dyDescent="0.3">
      <c r="A31" s="105" t="s">
        <v>966</v>
      </c>
      <c r="B31" s="72">
        <v>45983</v>
      </c>
      <c r="C31" s="105" t="s">
        <v>955</v>
      </c>
      <c r="D31" s="91" t="str">
        <f t="shared" si="4"/>
        <v>WD-11-E</v>
      </c>
      <c r="E31" s="7"/>
      <c r="F31" s="7"/>
      <c r="G31" s="80" t="s">
        <v>968</v>
      </c>
      <c r="H31" s="108" t="s">
        <v>969</v>
      </c>
      <c r="I31" s="105">
        <v>2020</v>
      </c>
      <c r="J31" s="109" t="str">
        <f t="shared" si="5"/>
        <v>NOV-264-KR</v>
      </c>
    </row>
    <row r="32" spans="1:10" x14ac:dyDescent="0.3">
      <c r="A32" s="105" t="s">
        <v>970</v>
      </c>
      <c r="B32" s="72">
        <v>46001</v>
      </c>
      <c r="C32" s="105" t="s">
        <v>951</v>
      </c>
      <c r="D32" s="91" t="str">
        <f t="shared" si="4"/>
        <v>OD-12-W</v>
      </c>
      <c r="E32" s="7"/>
      <c r="F32" s="7"/>
      <c r="G32" s="80" t="s">
        <v>972</v>
      </c>
      <c r="H32" s="108" t="s">
        <v>973</v>
      </c>
      <c r="I32" s="105">
        <v>2024</v>
      </c>
      <c r="J32" s="109" t="str">
        <f t="shared" si="5"/>
        <v>LAN-183-KR</v>
      </c>
    </row>
    <row r="33" spans="1:10" x14ac:dyDescent="0.3">
      <c r="A33" s="105" t="s">
        <v>974</v>
      </c>
      <c r="B33" s="72">
        <v>45903</v>
      </c>
      <c r="C33" s="105" t="s">
        <v>975</v>
      </c>
      <c r="D33" s="91" t="str">
        <f t="shared" si="4"/>
        <v>UF-9-H</v>
      </c>
      <c r="E33" s="7"/>
      <c r="F33" s="7"/>
      <c r="G33" s="80" t="s">
        <v>976</v>
      </c>
      <c r="H33" s="108" t="s">
        <v>957</v>
      </c>
      <c r="I33" s="105">
        <v>2022</v>
      </c>
      <c r="J33" s="109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K23"/>
  <sheetViews>
    <sheetView workbookViewId="0"/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 x14ac:dyDescent="0.3">
      <c r="A2" s="2" t="s">
        <v>982</v>
      </c>
      <c r="B2" s="2" t="s">
        <v>983</v>
      </c>
      <c r="C2" s="2" t="s">
        <v>984</v>
      </c>
      <c r="D2" s="2" t="s">
        <v>985</v>
      </c>
      <c r="E2" s="85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5" t="s">
        <v>991</v>
      </c>
    </row>
    <row r="3" spans="1:11" x14ac:dyDescent="0.3">
      <c r="A3" s="2" t="s">
        <v>992</v>
      </c>
      <c r="B3" s="2" t="s">
        <v>993</v>
      </c>
      <c r="C3" s="2" t="s">
        <v>994</v>
      </c>
      <c r="D3" s="2">
        <v>15</v>
      </c>
      <c r="E3" s="2"/>
      <c r="F3" s="26"/>
      <c r="G3" s="2" t="s">
        <v>995</v>
      </c>
      <c r="H3" s="2">
        <v>79</v>
      </c>
      <c r="I3" s="2">
        <v>76</v>
      </c>
      <c r="J3" s="2">
        <v>58</v>
      </c>
      <c r="K3" s="2"/>
    </row>
    <row r="4" spans="1:11" x14ac:dyDescent="0.3">
      <c r="A4" s="2" t="s">
        <v>996</v>
      </c>
      <c r="B4" s="2" t="s">
        <v>997</v>
      </c>
      <c r="C4" s="2" t="s">
        <v>994</v>
      </c>
      <c r="D4" s="2">
        <v>10</v>
      </c>
      <c r="E4" s="2"/>
      <c r="F4" s="26"/>
      <c r="G4" s="2" t="s">
        <v>998</v>
      </c>
      <c r="H4" s="2">
        <v>88</v>
      </c>
      <c r="I4" s="2">
        <v>95</v>
      </c>
      <c r="J4" s="2">
        <v>89</v>
      </c>
      <c r="K4" s="2"/>
    </row>
    <row r="5" spans="1:11" x14ac:dyDescent="0.3">
      <c r="A5" s="2" t="s">
        <v>999</v>
      </c>
      <c r="B5" s="2" t="s">
        <v>993</v>
      </c>
      <c r="C5" s="2" t="s">
        <v>994</v>
      </c>
      <c r="D5" s="2">
        <v>8</v>
      </c>
      <c r="E5" s="2"/>
      <c r="F5" s="26"/>
      <c r="G5" s="2" t="s">
        <v>1000</v>
      </c>
      <c r="H5" s="2">
        <v>56</v>
      </c>
      <c r="I5" s="2">
        <v>42</v>
      </c>
      <c r="J5" s="2">
        <v>55</v>
      </c>
      <c r="K5" s="2"/>
    </row>
    <row r="6" spans="1:11" x14ac:dyDescent="0.3">
      <c r="A6" s="2" t="s">
        <v>1001</v>
      </c>
      <c r="B6" s="2" t="s">
        <v>997</v>
      </c>
      <c r="C6" s="2" t="s">
        <v>1002</v>
      </c>
      <c r="D6" s="2">
        <v>12</v>
      </c>
      <c r="E6" s="2"/>
      <c r="F6" s="26"/>
      <c r="G6" s="2" t="s">
        <v>1003</v>
      </c>
      <c r="H6" s="2">
        <v>71</v>
      </c>
      <c r="I6" s="2">
        <v>75</v>
      </c>
      <c r="J6" s="2">
        <v>73</v>
      </c>
      <c r="K6" s="2"/>
    </row>
    <row r="7" spans="1:11" x14ac:dyDescent="0.3">
      <c r="A7" s="2" t="s">
        <v>1004</v>
      </c>
      <c r="B7" s="2" t="s">
        <v>993</v>
      </c>
      <c r="C7" s="2" t="s">
        <v>1002</v>
      </c>
      <c r="D7" s="2">
        <v>14</v>
      </c>
      <c r="E7" s="2"/>
      <c r="F7" s="26"/>
      <c r="G7" s="2" t="s">
        <v>1005</v>
      </c>
      <c r="H7" s="2">
        <v>90</v>
      </c>
      <c r="I7" s="2">
        <v>92</v>
      </c>
      <c r="J7" s="2">
        <v>94</v>
      </c>
      <c r="K7" s="2"/>
    </row>
    <row r="8" spans="1:11" x14ac:dyDescent="0.3">
      <c r="A8" s="2" t="s">
        <v>1006</v>
      </c>
      <c r="B8" s="2" t="s">
        <v>993</v>
      </c>
      <c r="C8" s="2" t="s">
        <v>1002</v>
      </c>
      <c r="D8" s="2">
        <v>13</v>
      </c>
      <c r="E8" s="2"/>
      <c r="F8" s="26"/>
      <c r="G8" s="2" t="s">
        <v>1007</v>
      </c>
      <c r="H8" s="2">
        <v>81</v>
      </c>
      <c r="I8" s="2">
        <v>86</v>
      </c>
      <c r="J8" s="2">
        <v>71</v>
      </c>
      <c r="K8" s="2"/>
    </row>
    <row r="9" spans="1:11" x14ac:dyDescent="0.3">
      <c r="A9" s="2" t="s">
        <v>1008</v>
      </c>
      <c r="B9" s="2" t="s">
        <v>997</v>
      </c>
      <c r="C9" s="2" t="s">
        <v>1009</v>
      </c>
      <c r="D9" s="2">
        <v>11</v>
      </c>
      <c r="E9" s="2"/>
      <c r="F9" s="26"/>
      <c r="G9" s="2" t="s">
        <v>1010</v>
      </c>
      <c r="H9" s="2">
        <v>80</v>
      </c>
      <c r="I9" s="2">
        <v>79</v>
      </c>
      <c r="J9" s="2">
        <v>83</v>
      </c>
      <c r="K9" s="2"/>
    </row>
    <row r="10" spans="1:11" x14ac:dyDescent="0.3">
      <c r="A10" s="2" t="s">
        <v>1011</v>
      </c>
      <c r="B10" s="2" t="s">
        <v>186</v>
      </c>
      <c r="C10" s="2" t="s">
        <v>1012</v>
      </c>
      <c r="D10" s="2">
        <v>5</v>
      </c>
      <c r="E10" s="2"/>
      <c r="F10" s="26"/>
      <c r="G10" s="2" t="s">
        <v>1013</v>
      </c>
      <c r="H10" s="2">
        <v>48</v>
      </c>
      <c r="I10" s="2">
        <v>59</v>
      </c>
      <c r="J10" s="2">
        <v>62</v>
      </c>
      <c r="K10" s="2"/>
    </row>
    <row r="11" spans="1:11" x14ac:dyDescent="0.3">
      <c r="A11" s="2" t="s">
        <v>1014</v>
      </c>
      <c r="B11" s="2" t="s">
        <v>196</v>
      </c>
      <c r="C11" s="2" t="s">
        <v>646</v>
      </c>
      <c r="D11" s="2">
        <v>14</v>
      </c>
      <c r="E11" s="2"/>
      <c r="F11" s="26"/>
      <c r="G11" s="2" t="s">
        <v>1015</v>
      </c>
      <c r="H11" s="2">
        <v>76</v>
      </c>
      <c r="I11" s="2">
        <v>54</v>
      </c>
      <c r="J11" s="2">
        <v>62</v>
      </c>
      <c r="K11" s="2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 x14ac:dyDescent="0.3">
      <c r="A14" s="2" t="s">
        <v>1019</v>
      </c>
      <c r="B14" s="2" t="s">
        <v>1020</v>
      </c>
      <c r="C14" s="2" t="s">
        <v>1021</v>
      </c>
      <c r="D14" s="2" t="s">
        <v>1022</v>
      </c>
      <c r="E14" s="85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5" t="s">
        <v>1026</v>
      </c>
    </row>
    <row r="15" spans="1:11" x14ac:dyDescent="0.3">
      <c r="A15" s="2" t="s">
        <v>1027</v>
      </c>
      <c r="B15" s="2">
        <v>93</v>
      </c>
      <c r="C15" s="2">
        <v>85</v>
      </c>
      <c r="D15" s="2">
        <v>77</v>
      </c>
      <c r="E15" s="2"/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2"/>
    </row>
    <row r="16" spans="1:11" x14ac:dyDescent="0.3">
      <c r="A16" s="2" t="s">
        <v>1029</v>
      </c>
      <c r="B16" s="2">
        <v>72</v>
      </c>
      <c r="C16" s="2">
        <v>99</v>
      </c>
      <c r="D16" s="2">
        <v>86</v>
      </c>
      <c r="E16" s="2"/>
      <c r="F16" s="26"/>
      <c r="G16" s="2" t="s">
        <v>1030</v>
      </c>
      <c r="H16" s="29">
        <v>11500</v>
      </c>
      <c r="I16" s="29">
        <v>193</v>
      </c>
      <c r="J16" s="29">
        <f t="shared" ref="J16:J23" si="0">H16*I16</f>
        <v>2219500</v>
      </c>
      <c r="K16" s="2"/>
    </row>
    <row r="17" spans="1:11" x14ac:dyDescent="0.3">
      <c r="A17" s="2" t="s">
        <v>1031</v>
      </c>
      <c r="B17" s="2">
        <v>93</v>
      </c>
      <c r="C17" s="2">
        <v>75</v>
      </c>
      <c r="D17" s="2">
        <v>91</v>
      </c>
      <c r="E17" s="2"/>
      <c r="F17" s="26"/>
      <c r="G17" s="2" t="s">
        <v>1032</v>
      </c>
      <c r="H17" s="29">
        <v>8500</v>
      </c>
      <c r="I17" s="29">
        <v>199</v>
      </c>
      <c r="J17" s="29">
        <f t="shared" si="0"/>
        <v>1691500</v>
      </c>
      <c r="K17" s="2"/>
    </row>
    <row r="18" spans="1:11" x14ac:dyDescent="0.3">
      <c r="A18" s="2" t="s">
        <v>1033</v>
      </c>
      <c r="B18" s="2">
        <v>82</v>
      </c>
      <c r="C18" s="2">
        <v>89</v>
      </c>
      <c r="D18" s="2">
        <v>47</v>
      </c>
      <c r="E18" s="2"/>
      <c r="F18" s="26"/>
      <c r="G18" s="2" t="s">
        <v>1034</v>
      </c>
      <c r="H18" s="29">
        <v>12500</v>
      </c>
      <c r="I18" s="29">
        <v>145</v>
      </c>
      <c r="J18" s="29">
        <f t="shared" si="0"/>
        <v>1812500</v>
      </c>
      <c r="K18" s="2"/>
    </row>
    <row r="19" spans="1:11" x14ac:dyDescent="0.3">
      <c r="A19" s="2" t="s">
        <v>1035</v>
      </c>
      <c r="B19" s="2">
        <v>57</v>
      </c>
      <c r="C19" s="2">
        <v>94</v>
      </c>
      <c r="D19" s="2">
        <v>85</v>
      </c>
      <c r="E19" s="2"/>
      <c r="F19" s="26"/>
      <c r="G19" s="2" t="s">
        <v>1036</v>
      </c>
      <c r="H19" s="29">
        <v>7500</v>
      </c>
      <c r="I19" s="29">
        <v>195</v>
      </c>
      <c r="J19" s="29">
        <f t="shared" si="0"/>
        <v>1462500</v>
      </c>
      <c r="K19" s="2"/>
    </row>
    <row r="20" spans="1:11" x14ac:dyDescent="0.3">
      <c r="A20" s="2" t="s">
        <v>1037</v>
      </c>
      <c r="B20" s="2">
        <v>69</v>
      </c>
      <c r="C20" s="2">
        <v>88</v>
      </c>
      <c r="D20" s="2">
        <v>77</v>
      </c>
      <c r="E20" s="2"/>
      <c r="F20" s="26"/>
      <c r="G20" s="2" t="s">
        <v>1038</v>
      </c>
      <c r="H20" s="29">
        <v>10000</v>
      </c>
      <c r="I20" s="29">
        <v>188</v>
      </c>
      <c r="J20" s="29">
        <f t="shared" si="0"/>
        <v>1880000</v>
      </c>
      <c r="K20" s="2"/>
    </row>
    <row r="21" spans="1:11" x14ac:dyDescent="0.3">
      <c r="A21" s="2" t="s">
        <v>1039</v>
      </c>
      <c r="B21" s="2">
        <v>79</v>
      </c>
      <c r="C21" s="2">
        <v>86</v>
      </c>
      <c r="D21" s="2">
        <v>96</v>
      </c>
      <c r="E21" s="2"/>
      <c r="F21" s="26"/>
      <c r="G21" s="2" t="s">
        <v>1040</v>
      </c>
      <c r="H21" s="29">
        <v>9500</v>
      </c>
      <c r="I21" s="29">
        <v>167</v>
      </c>
      <c r="J21" s="29">
        <f t="shared" si="0"/>
        <v>1586500</v>
      </c>
      <c r="K21" s="2"/>
    </row>
    <row r="22" spans="1:11" x14ac:dyDescent="0.3">
      <c r="A22" s="2" t="s">
        <v>1041</v>
      </c>
      <c r="B22" s="2">
        <v>86</v>
      </c>
      <c r="C22" s="2">
        <v>96</v>
      </c>
      <c r="D22" s="2">
        <v>68</v>
      </c>
      <c r="E22" s="2"/>
      <c r="F22" s="26"/>
      <c r="G22" s="2" t="s">
        <v>1042</v>
      </c>
      <c r="H22" s="29">
        <v>5500</v>
      </c>
      <c r="I22" s="29">
        <v>155</v>
      </c>
      <c r="J22" s="29">
        <f t="shared" si="0"/>
        <v>852500</v>
      </c>
      <c r="K22" s="2"/>
    </row>
    <row r="23" spans="1:11" x14ac:dyDescent="0.3">
      <c r="A23" s="2" t="s">
        <v>1043</v>
      </c>
      <c r="B23" s="2">
        <v>72</v>
      </c>
      <c r="C23" s="2">
        <v>88</v>
      </c>
      <c r="D23" s="2">
        <v>52</v>
      </c>
      <c r="E23" s="2"/>
      <c r="F23" s="26"/>
      <c r="G23" s="2" t="s">
        <v>1044</v>
      </c>
      <c r="H23" s="29">
        <v>8000</v>
      </c>
      <c r="I23" s="29">
        <v>168</v>
      </c>
      <c r="J23" s="29">
        <f t="shared" si="0"/>
        <v>1344000</v>
      </c>
      <c r="K23" s="2"/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65</v>
      </c>
      <c r="B1" s="27" t="s">
        <v>978</v>
      </c>
      <c r="C1" s="26"/>
      <c r="D1" s="81" t="s">
        <v>979</v>
      </c>
      <c r="E1" s="81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 x14ac:dyDescent="0.3">
      <c r="A2" s="81" t="s">
        <v>177</v>
      </c>
      <c r="B2" s="81" t="s">
        <v>174</v>
      </c>
      <c r="C2" s="81" t="s">
        <v>116</v>
      </c>
      <c r="D2" s="81" t="s">
        <v>985</v>
      </c>
      <c r="E2" s="86" t="s">
        <v>986</v>
      </c>
      <c r="F2" s="26"/>
      <c r="G2" s="81" t="s">
        <v>987</v>
      </c>
      <c r="H2" s="81" t="s">
        <v>344</v>
      </c>
      <c r="I2" s="81" t="s">
        <v>345</v>
      </c>
      <c r="J2" s="81" t="s">
        <v>990</v>
      </c>
      <c r="K2" s="86" t="s">
        <v>518</v>
      </c>
    </row>
    <row r="3" spans="1:11" x14ac:dyDescent="0.3">
      <c r="A3" s="81" t="s">
        <v>992</v>
      </c>
      <c r="B3" s="81" t="s">
        <v>188</v>
      </c>
      <c r="C3" s="81" t="s">
        <v>125</v>
      </c>
      <c r="D3" s="81">
        <v>15</v>
      </c>
      <c r="E3" s="91" t="str">
        <f t="shared" ref="E3:E11" si="0">IF($E$1-D3&gt;=8,"휴가독촉",IF($E$1-D3&gt;=4,"휴가권장",""))</f>
        <v/>
      </c>
      <c r="F3" s="26"/>
      <c r="G3" s="81" t="s">
        <v>995</v>
      </c>
      <c r="H3" s="81">
        <v>79</v>
      </c>
      <c r="I3" s="81">
        <v>76</v>
      </c>
      <c r="J3" s="81">
        <v>58</v>
      </c>
      <c r="K3" s="91" t="str">
        <f>IF(OR(H3&gt;=80,I3&gt;=80,J3&gt;=80),"합격","불합격")</f>
        <v>불합격</v>
      </c>
    </row>
    <row r="4" spans="1:11" x14ac:dyDescent="0.3">
      <c r="A4" s="81" t="s">
        <v>996</v>
      </c>
      <c r="B4" s="81" t="s">
        <v>183</v>
      </c>
      <c r="C4" s="81" t="s">
        <v>125</v>
      </c>
      <c r="D4" s="81">
        <v>10</v>
      </c>
      <c r="E4" s="91" t="str">
        <f t="shared" si="0"/>
        <v>휴가권장</v>
      </c>
      <c r="F4" s="26"/>
      <c r="G4" s="81" t="s">
        <v>998</v>
      </c>
      <c r="H4" s="81">
        <v>88</v>
      </c>
      <c r="I4" s="81">
        <v>95</v>
      </c>
      <c r="J4" s="81">
        <v>89</v>
      </c>
      <c r="K4" s="91" t="str">
        <f t="shared" ref="K4:K11" si="1">IF(OR(H4&gt;=80,I4&gt;=80,J4&gt;=80),"합격","불합격")</f>
        <v>합격</v>
      </c>
    </row>
    <row r="5" spans="1:11" x14ac:dyDescent="0.3">
      <c r="A5" s="81" t="s">
        <v>999</v>
      </c>
      <c r="B5" s="81" t="s">
        <v>188</v>
      </c>
      <c r="C5" s="81" t="s">
        <v>125</v>
      </c>
      <c r="D5" s="81">
        <v>8</v>
      </c>
      <c r="E5" s="91" t="str">
        <f t="shared" si="0"/>
        <v>휴가독촉</v>
      </c>
      <c r="F5" s="26"/>
      <c r="G5" s="81" t="s">
        <v>1000</v>
      </c>
      <c r="H5" s="81">
        <v>56</v>
      </c>
      <c r="I5" s="81">
        <v>42</v>
      </c>
      <c r="J5" s="81">
        <v>55</v>
      </c>
      <c r="K5" s="91" t="str">
        <f t="shared" si="1"/>
        <v>불합격</v>
      </c>
    </row>
    <row r="6" spans="1:11" x14ac:dyDescent="0.3">
      <c r="A6" s="81" t="s">
        <v>1001</v>
      </c>
      <c r="B6" s="81" t="s">
        <v>183</v>
      </c>
      <c r="C6" s="81" t="s">
        <v>368</v>
      </c>
      <c r="D6" s="81">
        <v>12</v>
      </c>
      <c r="E6" s="91" t="str">
        <f t="shared" si="0"/>
        <v>휴가권장</v>
      </c>
      <c r="F6" s="26"/>
      <c r="G6" s="81" t="s">
        <v>1003</v>
      </c>
      <c r="H6" s="81">
        <v>71</v>
      </c>
      <c r="I6" s="81">
        <v>75</v>
      </c>
      <c r="J6" s="81">
        <v>73</v>
      </c>
      <c r="K6" s="91" t="str">
        <f t="shared" si="1"/>
        <v>불합격</v>
      </c>
    </row>
    <row r="7" spans="1:11" x14ac:dyDescent="0.3">
      <c r="A7" s="81" t="s">
        <v>1004</v>
      </c>
      <c r="B7" s="81" t="s">
        <v>188</v>
      </c>
      <c r="C7" s="81" t="s">
        <v>368</v>
      </c>
      <c r="D7" s="81">
        <v>14</v>
      </c>
      <c r="E7" s="91" t="str">
        <f t="shared" si="0"/>
        <v/>
      </c>
      <c r="F7" s="26"/>
      <c r="G7" s="81" t="s">
        <v>1005</v>
      </c>
      <c r="H7" s="81">
        <v>90</v>
      </c>
      <c r="I7" s="81">
        <v>92</v>
      </c>
      <c r="J7" s="81">
        <v>94</v>
      </c>
      <c r="K7" s="91" t="str">
        <f t="shared" si="1"/>
        <v>합격</v>
      </c>
    </row>
    <row r="8" spans="1:11" x14ac:dyDescent="0.3">
      <c r="A8" s="81" t="s">
        <v>1006</v>
      </c>
      <c r="B8" s="81" t="s">
        <v>188</v>
      </c>
      <c r="C8" s="81" t="s">
        <v>368</v>
      </c>
      <c r="D8" s="81">
        <v>13</v>
      </c>
      <c r="E8" s="91" t="str">
        <f t="shared" si="0"/>
        <v/>
      </c>
      <c r="F8" s="26"/>
      <c r="G8" s="81" t="s">
        <v>1007</v>
      </c>
      <c r="H8" s="81">
        <v>81</v>
      </c>
      <c r="I8" s="81">
        <v>86</v>
      </c>
      <c r="J8" s="81">
        <v>71</v>
      </c>
      <c r="K8" s="91" t="str">
        <f t="shared" si="1"/>
        <v>합격</v>
      </c>
    </row>
    <row r="9" spans="1:11" x14ac:dyDescent="0.3">
      <c r="A9" s="81" t="s">
        <v>1008</v>
      </c>
      <c r="B9" s="81" t="s">
        <v>183</v>
      </c>
      <c r="C9" s="81" t="s">
        <v>625</v>
      </c>
      <c r="D9" s="81">
        <v>11</v>
      </c>
      <c r="E9" s="91" t="str">
        <f t="shared" si="0"/>
        <v>휴가권장</v>
      </c>
      <c r="F9" s="26"/>
      <c r="G9" s="81" t="s">
        <v>1010</v>
      </c>
      <c r="H9" s="81">
        <v>80</v>
      </c>
      <c r="I9" s="81">
        <v>79</v>
      </c>
      <c r="J9" s="81">
        <v>83</v>
      </c>
      <c r="K9" s="91" t="str">
        <f t="shared" si="1"/>
        <v>합격</v>
      </c>
    </row>
    <row r="10" spans="1:11" x14ac:dyDescent="0.3">
      <c r="A10" s="81" t="s">
        <v>1011</v>
      </c>
      <c r="B10" s="81" t="s">
        <v>183</v>
      </c>
      <c r="C10" s="81" t="s">
        <v>625</v>
      </c>
      <c r="D10" s="81">
        <v>5</v>
      </c>
      <c r="E10" s="91" t="str">
        <f t="shared" si="0"/>
        <v>휴가독촉</v>
      </c>
      <c r="F10" s="26"/>
      <c r="G10" s="81" t="s">
        <v>1013</v>
      </c>
      <c r="H10" s="81">
        <v>48</v>
      </c>
      <c r="I10" s="81">
        <v>59</v>
      </c>
      <c r="J10" s="81">
        <v>62</v>
      </c>
      <c r="K10" s="91" t="str">
        <f t="shared" si="1"/>
        <v>불합격</v>
      </c>
    </row>
    <row r="11" spans="1:11" x14ac:dyDescent="0.3">
      <c r="A11" s="81" t="s">
        <v>1014</v>
      </c>
      <c r="B11" s="81" t="s">
        <v>188</v>
      </c>
      <c r="C11" s="81" t="s">
        <v>625</v>
      </c>
      <c r="D11" s="81">
        <v>14</v>
      </c>
      <c r="E11" s="91" t="str">
        <f t="shared" si="0"/>
        <v/>
      </c>
      <c r="F11" s="26"/>
      <c r="G11" s="81" t="s">
        <v>1015</v>
      </c>
      <c r="H11" s="81">
        <v>76</v>
      </c>
      <c r="I11" s="81">
        <v>54</v>
      </c>
      <c r="J11" s="81">
        <v>62</v>
      </c>
      <c r="K11" s="91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 x14ac:dyDescent="0.3">
      <c r="A14" s="81" t="s">
        <v>75</v>
      </c>
      <c r="B14" s="81" t="s">
        <v>1020</v>
      </c>
      <c r="C14" s="81" t="s">
        <v>1021</v>
      </c>
      <c r="D14" s="81" t="s">
        <v>1022</v>
      </c>
      <c r="E14" s="86" t="s">
        <v>518</v>
      </c>
      <c r="F14" s="26"/>
      <c r="G14" s="81" t="s">
        <v>1023</v>
      </c>
      <c r="H14" s="81" t="s">
        <v>123</v>
      </c>
      <c r="I14" s="81" t="s">
        <v>76</v>
      </c>
      <c r="J14" s="81" t="s">
        <v>1025</v>
      </c>
      <c r="K14" s="86" t="s">
        <v>986</v>
      </c>
    </row>
    <row r="15" spans="1:11" x14ac:dyDescent="0.3">
      <c r="A15" s="81" t="s">
        <v>1027</v>
      </c>
      <c r="B15" s="81">
        <v>93</v>
      </c>
      <c r="C15" s="81">
        <v>85</v>
      </c>
      <c r="D15" s="81">
        <v>77</v>
      </c>
      <c r="E15" s="91" t="str">
        <f>IF(AND(OR(B15&gt;=80,C15&gt;=80),D15&gt;=90),"해외근무","국내근무")</f>
        <v>국내근무</v>
      </c>
      <c r="F15" s="26"/>
      <c r="G15" s="81" t="s">
        <v>1028</v>
      </c>
      <c r="H15" s="83">
        <v>12000</v>
      </c>
      <c r="I15" s="83">
        <v>124</v>
      </c>
      <c r="J15" s="83">
        <f>H15*I15</f>
        <v>1488000</v>
      </c>
      <c r="K15" s="91" t="str">
        <f t="shared" ref="K15:K23" si="2">IF(AND(I15&gt;=150,J15&gt;=MEDIAN($J$15:$J$23)),"효자상품","")</f>
        <v/>
      </c>
    </row>
    <row r="16" spans="1:11" x14ac:dyDescent="0.3">
      <c r="A16" s="81" t="s">
        <v>1029</v>
      </c>
      <c r="B16" s="81">
        <v>72</v>
      </c>
      <c r="C16" s="81">
        <v>99</v>
      </c>
      <c r="D16" s="81">
        <v>86</v>
      </c>
      <c r="E16" s="91" t="str">
        <f t="shared" ref="E16:E23" si="3">IF(AND(OR(B16&gt;=80,C16&gt;=80),D16&gt;=90),"해외근무","국내근무")</f>
        <v>국내근무</v>
      </c>
      <c r="F16" s="26"/>
      <c r="G16" s="81" t="s">
        <v>1030</v>
      </c>
      <c r="H16" s="83">
        <v>11500</v>
      </c>
      <c r="I16" s="83">
        <v>193</v>
      </c>
      <c r="J16" s="83">
        <f t="shared" ref="J16:J23" si="4">H16*I16</f>
        <v>2219500</v>
      </c>
      <c r="K16" s="91" t="str">
        <f t="shared" si="2"/>
        <v>효자상품</v>
      </c>
    </row>
    <row r="17" spans="1:11" x14ac:dyDescent="0.3">
      <c r="A17" s="81" t="s">
        <v>1031</v>
      </c>
      <c r="B17" s="81">
        <v>93</v>
      </c>
      <c r="C17" s="81">
        <v>75</v>
      </c>
      <c r="D17" s="81">
        <v>91</v>
      </c>
      <c r="E17" s="91" t="str">
        <f t="shared" si="3"/>
        <v>해외근무</v>
      </c>
      <c r="F17" s="26"/>
      <c r="G17" s="81" t="s">
        <v>1032</v>
      </c>
      <c r="H17" s="83">
        <v>8500</v>
      </c>
      <c r="I17" s="83">
        <v>199</v>
      </c>
      <c r="J17" s="83">
        <f t="shared" si="4"/>
        <v>1691500</v>
      </c>
      <c r="K17" s="91" t="str">
        <f t="shared" si="2"/>
        <v>효자상품</v>
      </c>
    </row>
    <row r="18" spans="1:11" x14ac:dyDescent="0.3">
      <c r="A18" s="81" t="s">
        <v>1033</v>
      </c>
      <c r="B18" s="81">
        <v>82</v>
      </c>
      <c r="C18" s="81">
        <v>89</v>
      </c>
      <c r="D18" s="81">
        <v>47</v>
      </c>
      <c r="E18" s="91" t="str">
        <f t="shared" si="3"/>
        <v>국내근무</v>
      </c>
      <c r="F18" s="26"/>
      <c r="G18" s="81" t="s">
        <v>1034</v>
      </c>
      <c r="H18" s="83">
        <v>12500</v>
      </c>
      <c r="I18" s="83">
        <v>145</v>
      </c>
      <c r="J18" s="83">
        <f t="shared" si="4"/>
        <v>1812500</v>
      </c>
      <c r="K18" s="91" t="str">
        <f t="shared" si="2"/>
        <v/>
      </c>
    </row>
    <row r="19" spans="1:11" x14ac:dyDescent="0.3">
      <c r="A19" s="81" t="s">
        <v>1035</v>
      </c>
      <c r="B19" s="81">
        <v>57</v>
      </c>
      <c r="C19" s="81">
        <v>94</v>
      </c>
      <c r="D19" s="81">
        <v>85</v>
      </c>
      <c r="E19" s="91" t="str">
        <f t="shared" si="3"/>
        <v>국내근무</v>
      </c>
      <c r="F19" s="26"/>
      <c r="G19" s="81" t="s">
        <v>1036</v>
      </c>
      <c r="H19" s="83">
        <v>7500</v>
      </c>
      <c r="I19" s="83">
        <v>195</v>
      </c>
      <c r="J19" s="83">
        <f t="shared" si="4"/>
        <v>1462500</v>
      </c>
      <c r="K19" s="91" t="str">
        <f t="shared" si="2"/>
        <v/>
      </c>
    </row>
    <row r="20" spans="1:11" x14ac:dyDescent="0.3">
      <c r="A20" s="81" t="s">
        <v>1037</v>
      </c>
      <c r="B20" s="81">
        <v>69</v>
      </c>
      <c r="C20" s="81">
        <v>88</v>
      </c>
      <c r="D20" s="81">
        <v>77</v>
      </c>
      <c r="E20" s="91" t="str">
        <f t="shared" si="3"/>
        <v>국내근무</v>
      </c>
      <c r="F20" s="26"/>
      <c r="G20" s="81" t="s">
        <v>1038</v>
      </c>
      <c r="H20" s="83">
        <v>10000</v>
      </c>
      <c r="I20" s="83">
        <v>188</v>
      </c>
      <c r="J20" s="83">
        <f t="shared" si="4"/>
        <v>1880000</v>
      </c>
      <c r="K20" s="91" t="str">
        <f t="shared" si="2"/>
        <v>효자상품</v>
      </c>
    </row>
    <row r="21" spans="1:11" x14ac:dyDescent="0.3">
      <c r="A21" s="81" t="s">
        <v>1039</v>
      </c>
      <c r="B21" s="81">
        <v>79</v>
      </c>
      <c r="C21" s="81">
        <v>86</v>
      </c>
      <c r="D21" s="81">
        <v>96</v>
      </c>
      <c r="E21" s="91" t="str">
        <f t="shared" si="3"/>
        <v>해외근무</v>
      </c>
      <c r="F21" s="26"/>
      <c r="G21" s="81" t="s">
        <v>1040</v>
      </c>
      <c r="H21" s="83">
        <v>9500</v>
      </c>
      <c r="I21" s="83">
        <v>167</v>
      </c>
      <c r="J21" s="83">
        <f t="shared" si="4"/>
        <v>1586500</v>
      </c>
      <c r="K21" s="91" t="str">
        <f t="shared" si="2"/>
        <v>효자상품</v>
      </c>
    </row>
    <row r="22" spans="1:11" x14ac:dyDescent="0.3">
      <c r="A22" s="81" t="s">
        <v>1041</v>
      </c>
      <c r="B22" s="81">
        <v>86</v>
      </c>
      <c r="C22" s="81">
        <v>96</v>
      </c>
      <c r="D22" s="81">
        <v>68</v>
      </c>
      <c r="E22" s="91" t="str">
        <f t="shared" si="3"/>
        <v>국내근무</v>
      </c>
      <c r="F22" s="26"/>
      <c r="G22" s="81" t="s">
        <v>1042</v>
      </c>
      <c r="H22" s="83">
        <v>5500</v>
      </c>
      <c r="I22" s="83">
        <v>155</v>
      </c>
      <c r="J22" s="83">
        <f t="shared" si="4"/>
        <v>852500</v>
      </c>
      <c r="K22" s="91" t="str">
        <f t="shared" si="2"/>
        <v/>
      </c>
    </row>
    <row r="23" spans="1:11" x14ac:dyDescent="0.3">
      <c r="A23" s="81" t="s">
        <v>1043</v>
      </c>
      <c r="B23" s="81">
        <v>72</v>
      </c>
      <c r="C23" s="81">
        <v>88</v>
      </c>
      <c r="D23" s="81">
        <v>52</v>
      </c>
      <c r="E23" s="91" t="str">
        <f t="shared" si="3"/>
        <v>국내근무</v>
      </c>
      <c r="F23" s="26"/>
      <c r="G23" s="81" t="s">
        <v>1044</v>
      </c>
      <c r="H23" s="83">
        <v>8000</v>
      </c>
      <c r="I23" s="83">
        <v>168</v>
      </c>
      <c r="J23" s="83">
        <f t="shared" si="4"/>
        <v>1344000</v>
      </c>
      <c r="K23" s="91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workbookViewId="0">
      <selection activeCell="P46" sqref="P46"/>
    </sheetView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3"/>
      <c r="I1" s="43"/>
      <c r="J1" s="43"/>
      <c r="K1" s="26"/>
    </row>
    <row r="2" spans="1:11" x14ac:dyDescent="0.3">
      <c r="A2" s="2" t="s">
        <v>1047</v>
      </c>
      <c r="B2" s="2" t="s">
        <v>360</v>
      </c>
      <c r="C2" s="2" t="s">
        <v>1048</v>
      </c>
      <c r="D2" s="2" t="s">
        <v>1049</v>
      </c>
      <c r="E2" s="85" t="s">
        <v>1050</v>
      </c>
      <c r="F2" s="26"/>
      <c r="G2" s="2" t="s">
        <v>1051</v>
      </c>
      <c r="H2" s="2" t="s">
        <v>1052</v>
      </c>
      <c r="I2" s="2" t="s">
        <v>1053</v>
      </c>
      <c r="J2" s="85" t="s">
        <v>1054</v>
      </c>
      <c r="K2" s="26"/>
    </row>
    <row r="3" spans="1:11" x14ac:dyDescent="0.3">
      <c r="A3" s="2">
        <v>1</v>
      </c>
      <c r="B3" s="2" t="s">
        <v>1055</v>
      </c>
      <c r="C3" s="2" t="s">
        <v>188</v>
      </c>
      <c r="D3" s="2">
        <v>78</v>
      </c>
      <c r="E3" s="2"/>
      <c r="F3" s="26"/>
      <c r="G3" s="2" t="s">
        <v>1056</v>
      </c>
      <c r="H3" s="2" t="s">
        <v>1057</v>
      </c>
      <c r="I3" s="2" t="s">
        <v>1058</v>
      </c>
      <c r="J3" s="2"/>
      <c r="K3" s="26"/>
    </row>
    <row r="4" spans="1:11" x14ac:dyDescent="0.3">
      <c r="A4" s="2">
        <v>1</v>
      </c>
      <c r="B4" s="2" t="s">
        <v>1059</v>
      </c>
      <c r="C4" s="2" t="s">
        <v>1060</v>
      </c>
      <c r="D4" s="2">
        <v>86</v>
      </c>
      <c r="E4" s="2"/>
      <c r="F4" s="26"/>
      <c r="G4" s="2" t="s">
        <v>1061</v>
      </c>
      <c r="H4" s="2" t="s">
        <v>1062</v>
      </c>
      <c r="I4" s="2" t="s">
        <v>1063</v>
      </c>
      <c r="J4" s="2"/>
      <c r="K4" s="26"/>
    </row>
    <row r="5" spans="1:11" x14ac:dyDescent="0.3">
      <c r="A5" s="2">
        <v>1</v>
      </c>
      <c r="B5" s="2" t="s">
        <v>1064</v>
      </c>
      <c r="C5" s="2" t="s">
        <v>1060</v>
      </c>
      <c r="D5" s="2">
        <v>90</v>
      </c>
      <c r="E5" s="2"/>
      <c r="F5" s="26"/>
      <c r="G5" s="2" t="s">
        <v>1065</v>
      </c>
      <c r="H5" s="2" t="s">
        <v>1066</v>
      </c>
      <c r="I5" s="2" t="s">
        <v>1067</v>
      </c>
      <c r="J5" s="2"/>
      <c r="K5" s="26"/>
    </row>
    <row r="6" spans="1:11" x14ac:dyDescent="0.3">
      <c r="A6" s="2">
        <v>1</v>
      </c>
      <c r="B6" s="2" t="s">
        <v>1068</v>
      </c>
      <c r="C6" s="2" t="s">
        <v>188</v>
      </c>
      <c r="D6" s="2">
        <v>91</v>
      </c>
      <c r="E6" s="2"/>
      <c r="F6" s="26"/>
      <c r="G6" s="2" t="s">
        <v>1069</v>
      </c>
      <c r="H6" s="2" t="s">
        <v>1070</v>
      </c>
      <c r="I6" s="2" t="s">
        <v>1071</v>
      </c>
      <c r="J6" s="2"/>
      <c r="K6" s="26"/>
    </row>
    <row r="7" spans="1:11" x14ac:dyDescent="0.3">
      <c r="A7" s="2">
        <v>2</v>
      </c>
      <c r="B7" s="2" t="s">
        <v>1072</v>
      </c>
      <c r="C7" s="2" t="s">
        <v>1073</v>
      </c>
      <c r="D7" s="2">
        <v>92</v>
      </c>
      <c r="E7" s="2"/>
      <c r="F7" s="26"/>
      <c r="G7" s="2" t="s">
        <v>1074</v>
      </c>
      <c r="H7" s="2" t="s">
        <v>1075</v>
      </c>
      <c r="I7" s="2" t="s">
        <v>1076</v>
      </c>
      <c r="J7" s="2"/>
      <c r="K7" s="26"/>
    </row>
    <row r="8" spans="1:11" x14ac:dyDescent="0.3">
      <c r="A8" s="2">
        <v>2</v>
      </c>
      <c r="B8" s="2" t="s">
        <v>1077</v>
      </c>
      <c r="C8" s="2" t="s">
        <v>1078</v>
      </c>
      <c r="D8" s="2">
        <v>82</v>
      </c>
      <c r="E8" s="2"/>
      <c r="F8" s="26"/>
      <c r="G8" s="2" t="s">
        <v>1079</v>
      </c>
      <c r="H8" s="2" t="s">
        <v>1080</v>
      </c>
      <c r="I8" s="2" t="s">
        <v>1081</v>
      </c>
      <c r="J8" s="2"/>
      <c r="K8" s="26"/>
    </row>
    <row r="9" spans="1:11" x14ac:dyDescent="0.3">
      <c r="A9" s="2">
        <v>2</v>
      </c>
      <c r="B9" s="2" t="s">
        <v>1082</v>
      </c>
      <c r="C9" s="2" t="s">
        <v>186</v>
      </c>
      <c r="D9" s="2">
        <v>94</v>
      </c>
      <c r="E9" s="2"/>
      <c r="F9" s="26"/>
      <c r="G9" s="2" t="s">
        <v>1083</v>
      </c>
      <c r="H9" s="2" t="s">
        <v>1084</v>
      </c>
      <c r="I9" s="2" t="s">
        <v>1085</v>
      </c>
      <c r="J9" s="2"/>
      <c r="K9" s="26"/>
    </row>
    <row r="10" spans="1:11" x14ac:dyDescent="0.3">
      <c r="A10" s="2">
        <v>3</v>
      </c>
      <c r="B10" s="2" t="s">
        <v>1086</v>
      </c>
      <c r="C10" s="2" t="s">
        <v>1078</v>
      </c>
      <c r="D10" s="2">
        <v>89</v>
      </c>
      <c r="E10" s="2"/>
      <c r="F10" s="26"/>
      <c r="G10" s="2" t="s">
        <v>1087</v>
      </c>
      <c r="H10" s="2" t="s">
        <v>1088</v>
      </c>
      <c r="I10" s="2" t="s">
        <v>1089</v>
      </c>
      <c r="J10" s="2"/>
      <c r="K10" s="26"/>
    </row>
    <row r="11" spans="1:11" x14ac:dyDescent="0.3">
      <c r="A11" s="2">
        <v>3</v>
      </c>
      <c r="B11" s="2" t="s">
        <v>1090</v>
      </c>
      <c r="C11" s="2" t="s">
        <v>1091</v>
      </c>
      <c r="D11" s="2">
        <v>93</v>
      </c>
      <c r="E11" s="2"/>
      <c r="F11" s="26"/>
      <c r="G11" s="43"/>
      <c r="H11" s="43"/>
      <c r="I11" s="43"/>
      <c r="J11" s="43"/>
      <c r="K11" s="26"/>
    </row>
    <row r="12" spans="1:11" x14ac:dyDescent="0.3">
      <c r="A12" s="2">
        <v>3</v>
      </c>
      <c r="B12" s="2" t="s">
        <v>1092</v>
      </c>
      <c r="C12" s="2" t="s">
        <v>186</v>
      </c>
      <c r="D12" s="2">
        <v>87</v>
      </c>
      <c r="E12" s="2"/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3"/>
      <c r="I15" s="43"/>
      <c r="J15" s="43"/>
      <c r="K15" s="43"/>
    </row>
    <row r="16" spans="1:11" x14ac:dyDescent="0.3">
      <c r="A16" s="2" t="s">
        <v>1103</v>
      </c>
      <c r="B16" s="2" t="s">
        <v>76</v>
      </c>
      <c r="C16" s="2" t="s">
        <v>1104</v>
      </c>
      <c r="D16" s="85" t="s">
        <v>518</v>
      </c>
      <c r="E16" s="26"/>
      <c r="F16" s="26"/>
      <c r="G16" s="2" t="s">
        <v>1105</v>
      </c>
      <c r="H16" s="51" t="s">
        <v>1106</v>
      </c>
      <c r="I16" s="51" t="s">
        <v>1107</v>
      </c>
      <c r="J16" s="2" t="s">
        <v>1108</v>
      </c>
      <c r="K16" s="85" t="s">
        <v>1109</v>
      </c>
    </row>
    <row r="17" spans="1:11" x14ac:dyDescent="0.3">
      <c r="A17" s="2" t="s">
        <v>1110</v>
      </c>
      <c r="B17" s="29">
        <v>642</v>
      </c>
      <c r="C17" s="29">
        <v>8025000</v>
      </c>
      <c r="D17" s="2"/>
      <c r="E17" s="26"/>
      <c r="F17" s="26"/>
      <c r="G17" s="2" t="s">
        <v>1111</v>
      </c>
      <c r="H17" s="51">
        <v>82</v>
      </c>
      <c r="I17" s="51">
        <v>94</v>
      </c>
      <c r="J17" s="2">
        <f t="shared" ref="J17:J24" si="0">SUM(H17:I17)</f>
        <v>176</v>
      </c>
      <c r="K17" s="2"/>
    </row>
    <row r="18" spans="1:11" x14ac:dyDescent="0.3">
      <c r="A18" s="2" t="s">
        <v>1112</v>
      </c>
      <c r="B18" s="29">
        <v>241</v>
      </c>
      <c r="C18" s="29">
        <v>3012500</v>
      </c>
      <c r="D18" s="2"/>
      <c r="E18" s="26"/>
      <c r="F18" s="26"/>
      <c r="G18" s="2" t="s">
        <v>1113</v>
      </c>
      <c r="H18" s="51">
        <v>63</v>
      </c>
      <c r="I18" s="51">
        <v>83</v>
      </c>
      <c r="J18" s="2">
        <f t="shared" si="0"/>
        <v>146</v>
      </c>
      <c r="K18" s="2"/>
    </row>
    <row r="19" spans="1:11" x14ac:dyDescent="0.3">
      <c r="A19" s="2" t="s">
        <v>1114</v>
      </c>
      <c r="B19" s="29">
        <v>289</v>
      </c>
      <c r="C19" s="29">
        <v>3612500</v>
      </c>
      <c r="D19" s="2"/>
      <c r="E19" s="26"/>
      <c r="F19" s="26"/>
      <c r="G19" s="2" t="s">
        <v>1115</v>
      </c>
      <c r="H19" s="51">
        <v>76</v>
      </c>
      <c r="I19" s="51">
        <v>86</v>
      </c>
      <c r="J19" s="2">
        <f t="shared" si="0"/>
        <v>162</v>
      </c>
      <c r="K19" s="2"/>
    </row>
    <row r="20" spans="1:11" x14ac:dyDescent="0.3">
      <c r="A20" s="2" t="s">
        <v>1116</v>
      </c>
      <c r="B20" s="29">
        <v>685</v>
      </c>
      <c r="C20" s="29">
        <v>8562500</v>
      </c>
      <c r="D20" s="2"/>
      <c r="E20" s="26"/>
      <c r="F20" s="26"/>
      <c r="G20" s="2" t="s">
        <v>1117</v>
      </c>
      <c r="H20" s="51">
        <v>62</v>
      </c>
      <c r="I20" s="51">
        <v>88</v>
      </c>
      <c r="J20" s="2">
        <f t="shared" si="0"/>
        <v>150</v>
      </c>
      <c r="K20" s="2"/>
    </row>
    <row r="21" spans="1:11" x14ac:dyDescent="0.3">
      <c r="A21" s="2" t="s">
        <v>1118</v>
      </c>
      <c r="B21" s="29">
        <v>917</v>
      </c>
      <c r="C21" s="29">
        <v>11462500</v>
      </c>
      <c r="D21" s="2"/>
      <c r="E21" s="26"/>
      <c r="F21" s="26"/>
      <c r="G21" s="2" t="s">
        <v>1119</v>
      </c>
      <c r="H21" s="51">
        <v>92</v>
      </c>
      <c r="I21" s="51">
        <v>96</v>
      </c>
      <c r="J21" s="2">
        <f t="shared" si="0"/>
        <v>188</v>
      </c>
      <c r="K21" s="2"/>
    </row>
    <row r="22" spans="1:11" x14ac:dyDescent="0.3">
      <c r="A22" s="2" t="s">
        <v>1120</v>
      </c>
      <c r="B22" s="29">
        <v>862</v>
      </c>
      <c r="C22" s="29">
        <v>10775000</v>
      </c>
      <c r="D22" s="2"/>
      <c r="E22" s="26"/>
      <c r="F22" s="26"/>
      <c r="G22" s="2" t="s">
        <v>1121</v>
      </c>
      <c r="H22" s="51">
        <v>85</v>
      </c>
      <c r="I22" s="51">
        <v>80</v>
      </c>
      <c r="J22" s="2">
        <f t="shared" si="0"/>
        <v>165</v>
      </c>
      <c r="K22" s="2"/>
    </row>
    <row r="23" spans="1:11" x14ac:dyDescent="0.3">
      <c r="A23" s="2" t="s">
        <v>1122</v>
      </c>
      <c r="B23" s="29">
        <v>571</v>
      </c>
      <c r="C23" s="29">
        <v>7137500</v>
      </c>
      <c r="D23" s="2"/>
      <c r="E23" s="26"/>
      <c r="F23" s="26"/>
      <c r="G23" s="2" t="s">
        <v>1123</v>
      </c>
      <c r="H23" s="51">
        <v>62</v>
      </c>
      <c r="I23" s="51">
        <v>77</v>
      </c>
      <c r="J23" s="2">
        <f t="shared" si="0"/>
        <v>139</v>
      </c>
      <c r="K23" s="2"/>
    </row>
    <row r="24" spans="1:11" x14ac:dyDescent="0.3">
      <c r="A24" s="2" t="s">
        <v>1124</v>
      </c>
      <c r="B24" s="29">
        <v>295</v>
      </c>
      <c r="C24" s="29">
        <v>3687500</v>
      </c>
      <c r="D24" s="2"/>
      <c r="E24" s="26"/>
      <c r="F24" s="26"/>
      <c r="G24" s="2" t="s">
        <v>1125</v>
      </c>
      <c r="H24" s="51">
        <v>73</v>
      </c>
      <c r="I24" s="51">
        <v>68</v>
      </c>
      <c r="J24" s="2">
        <f t="shared" si="0"/>
        <v>141</v>
      </c>
      <c r="K24" s="2"/>
    </row>
    <row r="25" spans="1:11" x14ac:dyDescent="0.3">
      <c r="A25" s="2" t="s">
        <v>1126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1127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5" t="s">
        <v>1160</v>
      </c>
      <c r="B29" s="115" t="s">
        <v>1157</v>
      </c>
      <c r="C29" s="115" t="s">
        <v>1159</v>
      </c>
      <c r="D29" s="116" t="s">
        <v>1158</v>
      </c>
      <c r="G29" s="115" t="s">
        <v>664</v>
      </c>
      <c r="H29" s="115" t="s">
        <v>174</v>
      </c>
      <c r="I29" s="115" t="s">
        <v>482</v>
      </c>
      <c r="J29" s="116" t="s">
        <v>116</v>
      </c>
    </row>
    <row r="30" spans="1:11" x14ac:dyDescent="0.3">
      <c r="A30" s="115">
        <v>50123</v>
      </c>
      <c r="B30" s="73">
        <v>45933</v>
      </c>
      <c r="C30" s="117">
        <v>120000</v>
      </c>
      <c r="D30" s="91"/>
      <c r="G30" s="115" t="s">
        <v>671</v>
      </c>
      <c r="H30" s="115" t="s">
        <v>183</v>
      </c>
      <c r="I30" s="115" t="s">
        <v>369</v>
      </c>
      <c r="J30" s="91"/>
    </row>
    <row r="31" spans="1:11" x14ac:dyDescent="0.3">
      <c r="A31" s="115">
        <v>50124</v>
      </c>
      <c r="B31" s="73">
        <v>45936</v>
      </c>
      <c r="C31" s="117">
        <v>320000</v>
      </c>
      <c r="D31" s="91"/>
      <c r="G31" s="115" t="s">
        <v>674</v>
      </c>
      <c r="H31" s="115" t="s">
        <v>183</v>
      </c>
      <c r="I31" s="115" t="s">
        <v>369</v>
      </c>
      <c r="J31" s="91"/>
    </row>
    <row r="32" spans="1:11" x14ac:dyDescent="0.3">
      <c r="A32" s="115">
        <v>50125</v>
      </c>
      <c r="B32" s="73">
        <v>45948</v>
      </c>
      <c r="C32" s="117">
        <v>180000</v>
      </c>
      <c r="D32" s="91"/>
      <c r="G32" s="115" t="s">
        <v>676</v>
      </c>
      <c r="H32" s="115" t="s">
        <v>188</v>
      </c>
      <c r="I32" s="115" t="s">
        <v>369</v>
      </c>
      <c r="J32" s="91"/>
    </row>
    <row r="33" spans="1:10" x14ac:dyDescent="0.3">
      <c r="A33" s="115">
        <v>50126</v>
      </c>
      <c r="B33" s="73">
        <v>45952</v>
      </c>
      <c r="C33" s="117">
        <v>150000</v>
      </c>
      <c r="D33" s="91"/>
      <c r="G33" s="115" t="s">
        <v>678</v>
      </c>
      <c r="H33" s="115" t="s">
        <v>188</v>
      </c>
      <c r="I33" s="115" t="s">
        <v>232</v>
      </c>
      <c r="J33" s="91"/>
    </row>
    <row r="34" spans="1:10" x14ac:dyDescent="0.3">
      <c r="A34" s="115">
        <v>50127</v>
      </c>
      <c r="B34" s="73">
        <v>45961</v>
      </c>
      <c r="C34" s="117">
        <v>510000</v>
      </c>
      <c r="D34" s="91"/>
      <c r="G34" s="115" t="s">
        <v>680</v>
      </c>
      <c r="H34" s="115" t="s">
        <v>183</v>
      </c>
      <c r="I34" s="115" t="s">
        <v>232</v>
      </c>
      <c r="J34" s="91"/>
    </row>
    <row r="35" spans="1:10" x14ac:dyDescent="0.3">
      <c r="A35" s="115">
        <v>50128</v>
      </c>
      <c r="B35" s="73">
        <v>45965</v>
      </c>
      <c r="C35" s="117">
        <v>420000</v>
      </c>
      <c r="D35" s="91"/>
      <c r="G35" s="115" t="s">
        <v>682</v>
      </c>
      <c r="H35" s="115" t="s">
        <v>188</v>
      </c>
      <c r="I35" s="115" t="s">
        <v>238</v>
      </c>
      <c r="J35" s="91"/>
    </row>
    <row r="36" spans="1:10" x14ac:dyDescent="0.3">
      <c r="A36" s="115">
        <v>50129</v>
      </c>
      <c r="B36" s="73">
        <v>45970</v>
      </c>
      <c r="C36" s="117">
        <v>740000</v>
      </c>
      <c r="D36" s="91"/>
      <c r="G36" s="115" t="s">
        <v>684</v>
      </c>
      <c r="H36" s="115" t="s">
        <v>183</v>
      </c>
      <c r="I36" s="115" t="s">
        <v>238</v>
      </c>
      <c r="J36" s="91"/>
    </row>
    <row r="37" spans="1:10" x14ac:dyDescent="0.3">
      <c r="A37" s="115">
        <v>50130</v>
      </c>
      <c r="B37" s="73">
        <v>45981</v>
      </c>
      <c r="C37" s="117">
        <v>654000</v>
      </c>
      <c r="D37" s="91"/>
      <c r="G37" s="115" t="s">
        <v>686</v>
      </c>
      <c r="H37" s="115" t="s">
        <v>183</v>
      </c>
      <c r="I37" s="115" t="s">
        <v>238</v>
      </c>
      <c r="J37" s="91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3"/>
      <c r="I1" s="43"/>
      <c r="J1" s="43"/>
      <c r="K1" s="26"/>
    </row>
    <row r="2" spans="1:11" x14ac:dyDescent="0.3">
      <c r="A2" s="81" t="s">
        <v>773</v>
      </c>
      <c r="B2" s="81" t="s">
        <v>177</v>
      </c>
      <c r="C2" s="81" t="s">
        <v>174</v>
      </c>
      <c r="D2" s="81" t="s">
        <v>447</v>
      </c>
      <c r="E2" s="86" t="s">
        <v>518</v>
      </c>
      <c r="F2" s="26"/>
      <c r="G2" s="81" t="s">
        <v>1051</v>
      </c>
      <c r="H2" s="81" t="s">
        <v>1052</v>
      </c>
      <c r="I2" s="81" t="s">
        <v>1053</v>
      </c>
      <c r="J2" s="86" t="s">
        <v>1054</v>
      </c>
      <c r="K2" s="26"/>
    </row>
    <row r="3" spans="1:11" x14ac:dyDescent="0.3">
      <c r="A3" s="81">
        <v>1</v>
      </c>
      <c r="B3" s="81" t="s">
        <v>1055</v>
      </c>
      <c r="C3" s="81" t="s">
        <v>188</v>
      </c>
      <c r="D3" s="81">
        <v>78</v>
      </c>
      <c r="E3" s="91" t="str">
        <f>IFERROR(CHOOSE(_xlfn.RANK.EQ(D3,$D$3:$D$12),"대상","금상","은상","동상"),"")</f>
        <v/>
      </c>
      <c r="F3" s="26"/>
      <c r="G3" s="81" t="s">
        <v>1056</v>
      </c>
      <c r="H3" s="81" t="s">
        <v>1057</v>
      </c>
      <c r="I3" s="81" t="s">
        <v>1058</v>
      </c>
      <c r="J3" s="91" t="str">
        <f>IFERROR(HLOOKUP(LEFT(G3,1),$H$12:$J$13,2,FALSE),"코드오류")</f>
        <v>멀티미디어</v>
      </c>
      <c r="K3" s="26"/>
    </row>
    <row r="4" spans="1:11" x14ac:dyDescent="0.3">
      <c r="A4" s="81">
        <v>1</v>
      </c>
      <c r="B4" s="81" t="s">
        <v>1059</v>
      </c>
      <c r="C4" s="81" t="s">
        <v>183</v>
      </c>
      <c r="D4" s="81">
        <v>86</v>
      </c>
      <c r="E4" s="91" t="str">
        <f t="shared" ref="E4:E12" si="0">IFERROR(CHOOSE(_xlfn.RANK.EQ(D4,$D$3:$D$12),"대상","금상","은상","동상"),"")</f>
        <v/>
      </c>
      <c r="F4" s="26"/>
      <c r="G4" s="81" t="s">
        <v>1061</v>
      </c>
      <c r="H4" s="81" t="s">
        <v>1062</v>
      </c>
      <c r="I4" s="81" t="s">
        <v>1063</v>
      </c>
      <c r="J4" s="91" t="str">
        <f t="shared" ref="J4:J10" si="1">IFERROR(HLOOKUP(LEFT(G4,1),$H$12:$J$13,2,FALSE),"코드오류")</f>
        <v>네트워크</v>
      </c>
      <c r="K4" s="26"/>
    </row>
    <row r="5" spans="1:11" x14ac:dyDescent="0.3">
      <c r="A5" s="81">
        <v>1</v>
      </c>
      <c r="B5" s="81" t="s">
        <v>1064</v>
      </c>
      <c r="C5" s="81" t="s">
        <v>183</v>
      </c>
      <c r="D5" s="81">
        <v>90</v>
      </c>
      <c r="E5" s="91" t="str">
        <f t="shared" si="0"/>
        <v/>
      </c>
      <c r="F5" s="26"/>
      <c r="G5" s="81" t="s">
        <v>1065</v>
      </c>
      <c r="H5" s="81" t="s">
        <v>1066</v>
      </c>
      <c r="I5" s="81" t="s">
        <v>1067</v>
      </c>
      <c r="J5" s="91" t="str">
        <f t="shared" si="1"/>
        <v>소프트웨어</v>
      </c>
      <c r="K5" s="26"/>
    </row>
    <row r="6" spans="1:11" x14ac:dyDescent="0.3">
      <c r="A6" s="81">
        <v>1</v>
      </c>
      <c r="B6" s="81" t="s">
        <v>1068</v>
      </c>
      <c r="C6" s="81" t="s">
        <v>188</v>
      </c>
      <c r="D6" s="81">
        <v>91</v>
      </c>
      <c r="E6" s="91" t="str">
        <f t="shared" si="0"/>
        <v>동상</v>
      </c>
      <c r="F6" s="26"/>
      <c r="G6" s="81" t="s">
        <v>1069</v>
      </c>
      <c r="H6" s="81" t="s">
        <v>1070</v>
      </c>
      <c r="I6" s="81" t="s">
        <v>1071</v>
      </c>
      <c r="J6" s="91" t="str">
        <f t="shared" si="1"/>
        <v>멀티미디어</v>
      </c>
      <c r="K6" s="26"/>
    </row>
    <row r="7" spans="1:11" x14ac:dyDescent="0.3">
      <c r="A7" s="81">
        <v>2</v>
      </c>
      <c r="B7" s="81" t="s">
        <v>1072</v>
      </c>
      <c r="C7" s="81" t="s">
        <v>188</v>
      </c>
      <c r="D7" s="81">
        <v>92</v>
      </c>
      <c r="E7" s="91" t="str">
        <f t="shared" si="0"/>
        <v>은상</v>
      </c>
      <c r="F7" s="26"/>
      <c r="G7" s="81" t="s">
        <v>1074</v>
      </c>
      <c r="H7" s="81" t="s">
        <v>1075</v>
      </c>
      <c r="I7" s="81" t="s">
        <v>1076</v>
      </c>
      <c r="J7" s="91" t="str">
        <f t="shared" si="1"/>
        <v>소프트웨어</v>
      </c>
      <c r="K7" s="26"/>
    </row>
    <row r="8" spans="1:11" x14ac:dyDescent="0.3">
      <c r="A8" s="81">
        <v>2</v>
      </c>
      <c r="B8" s="81" t="s">
        <v>1077</v>
      </c>
      <c r="C8" s="81" t="s">
        <v>188</v>
      </c>
      <c r="D8" s="81">
        <v>82</v>
      </c>
      <c r="E8" s="91" t="str">
        <f t="shared" si="0"/>
        <v/>
      </c>
      <c r="F8" s="26"/>
      <c r="G8" s="81" t="s">
        <v>1079</v>
      </c>
      <c r="H8" s="81" t="s">
        <v>1080</v>
      </c>
      <c r="I8" s="81" t="s">
        <v>1081</v>
      </c>
      <c r="J8" s="91" t="str">
        <f t="shared" si="1"/>
        <v>네트워크</v>
      </c>
      <c r="K8" s="26"/>
    </row>
    <row r="9" spans="1:11" x14ac:dyDescent="0.3">
      <c r="A9" s="81">
        <v>2</v>
      </c>
      <c r="B9" s="81" t="s">
        <v>1082</v>
      </c>
      <c r="C9" s="81" t="s">
        <v>183</v>
      </c>
      <c r="D9" s="81">
        <v>94</v>
      </c>
      <c r="E9" s="91" t="str">
        <f t="shared" si="0"/>
        <v>대상</v>
      </c>
      <c r="F9" s="26"/>
      <c r="G9" s="81" t="s">
        <v>1083</v>
      </c>
      <c r="H9" s="81" t="s">
        <v>1084</v>
      </c>
      <c r="I9" s="81" t="s">
        <v>1085</v>
      </c>
      <c r="J9" s="91" t="str">
        <f t="shared" si="1"/>
        <v>멀티미디어</v>
      </c>
      <c r="K9" s="26"/>
    </row>
    <row r="10" spans="1:11" x14ac:dyDescent="0.3">
      <c r="A10" s="81">
        <v>3</v>
      </c>
      <c r="B10" s="81" t="s">
        <v>1086</v>
      </c>
      <c r="C10" s="81" t="s">
        <v>188</v>
      </c>
      <c r="D10" s="81">
        <v>89</v>
      </c>
      <c r="E10" s="91" t="str">
        <f t="shared" si="0"/>
        <v/>
      </c>
      <c r="F10" s="26"/>
      <c r="G10" s="81" t="s">
        <v>1087</v>
      </c>
      <c r="H10" s="81" t="s">
        <v>1088</v>
      </c>
      <c r="I10" s="81" t="s">
        <v>1089</v>
      </c>
      <c r="J10" s="91" t="str">
        <f t="shared" si="1"/>
        <v>코드오류</v>
      </c>
      <c r="K10" s="26"/>
    </row>
    <row r="11" spans="1:11" x14ac:dyDescent="0.3">
      <c r="A11" s="81">
        <v>3</v>
      </c>
      <c r="B11" s="81" t="s">
        <v>1090</v>
      </c>
      <c r="C11" s="81" t="s">
        <v>183</v>
      </c>
      <c r="D11" s="81">
        <v>93</v>
      </c>
      <c r="E11" s="91" t="str">
        <f t="shared" si="0"/>
        <v>금상</v>
      </c>
      <c r="F11" s="26"/>
      <c r="G11" s="43"/>
      <c r="H11" s="43"/>
      <c r="I11" s="43"/>
      <c r="J11" s="43"/>
      <c r="K11" s="26"/>
    </row>
    <row r="12" spans="1:11" x14ac:dyDescent="0.3">
      <c r="A12" s="81">
        <v>3</v>
      </c>
      <c r="B12" s="81" t="s">
        <v>1092</v>
      </c>
      <c r="C12" s="81" t="s">
        <v>183</v>
      </c>
      <c r="D12" s="81">
        <v>87</v>
      </c>
      <c r="E12" s="91" t="str">
        <f t="shared" si="0"/>
        <v/>
      </c>
      <c r="F12" s="26"/>
      <c r="G12" s="81" t="s">
        <v>1093</v>
      </c>
      <c r="H12" s="81" t="s">
        <v>1094</v>
      </c>
      <c r="I12" s="81" t="s">
        <v>1095</v>
      </c>
      <c r="J12" s="81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81" t="s">
        <v>1097</v>
      </c>
      <c r="H13" s="81" t="s">
        <v>1098</v>
      </c>
      <c r="I13" s="81" t="s">
        <v>1099</v>
      </c>
      <c r="J13" s="81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3"/>
      <c r="I15" s="43"/>
      <c r="J15" s="43"/>
      <c r="K15" s="43"/>
    </row>
    <row r="16" spans="1:11" x14ac:dyDescent="0.3">
      <c r="A16" s="81" t="s">
        <v>120</v>
      </c>
      <c r="B16" s="81" t="s">
        <v>76</v>
      </c>
      <c r="C16" s="81" t="s">
        <v>77</v>
      </c>
      <c r="D16" s="86" t="s">
        <v>518</v>
      </c>
      <c r="E16" s="26"/>
      <c r="F16" s="26"/>
      <c r="G16" s="81" t="s">
        <v>400</v>
      </c>
      <c r="H16" s="84" t="s">
        <v>1106</v>
      </c>
      <c r="I16" s="84" t="s">
        <v>1107</v>
      </c>
      <c r="J16" s="81" t="s">
        <v>181</v>
      </c>
      <c r="K16" s="86" t="s">
        <v>447</v>
      </c>
    </row>
    <row r="17" spans="1:11" x14ac:dyDescent="0.3">
      <c r="A17" s="81" t="s">
        <v>1110</v>
      </c>
      <c r="B17" s="83">
        <v>642</v>
      </c>
      <c r="C17" s="83">
        <v>8025000</v>
      </c>
      <c r="D17" s="91" t="str">
        <f>IF(C17&gt;=LARGE($C$17:$C$26,5),"재생산","생산중단")</f>
        <v>재생산</v>
      </c>
      <c r="E17" s="26"/>
      <c r="F17" s="26"/>
      <c r="G17" s="81" t="s">
        <v>1111</v>
      </c>
      <c r="H17" s="84">
        <v>82</v>
      </c>
      <c r="I17" s="84">
        <v>94</v>
      </c>
      <c r="J17" s="81">
        <f t="shared" ref="J17:J24" si="2">SUM(H17:I17)</f>
        <v>176</v>
      </c>
      <c r="K17" s="91" t="str">
        <f>IF(J17=MAX($J$17:$J$24),"최고점수",IF(J17=MIN($J$17:$J$24),"최저점수",""))</f>
        <v/>
      </c>
    </row>
    <row r="18" spans="1:11" x14ac:dyDescent="0.3">
      <c r="A18" s="81" t="s">
        <v>1112</v>
      </c>
      <c r="B18" s="83">
        <v>241</v>
      </c>
      <c r="C18" s="83">
        <v>3012500</v>
      </c>
      <c r="D18" s="91" t="str">
        <f t="shared" ref="D18:D26" si="3">IF(C18&gt;=LARGE($C$17:$C$26,5),"재생산","생산중단")</f>
        <v>생산중단</v>
      </c>
      <c r="E18" s="26"/>
      <c r="F18" s="26"/>
      <c r="G18" s="81" t="s">
        <v>1113</v>
      </c>
      <c r="H18" s="84">
        <v>63</v>
      </c>
      <c r="I18" s="84">
        <v>83</v>
      </c>
      <c r="J18" s="81">
        <f t="shared" si="2"/>
        <v>146</v>
      </c>
      <c r="K18" s="91" t="str">
        <f t="shared" ref="K18:K24" si="4">IF(J18=MAX($J$17:$J$24),"최고점수",IF(J18=MIN($J$17:$J$24),"최저점수",""))</f>
        <v/>
      </c>
    </row>
    <row r="19" spans="1:11" x14ac:dyDescent="0.3">
      <c r="A19" s="81" t="s">
        <v>1114</v>
      </c>
      <c r="B19" s="83">
        <v>289</v>
      </c>
      <c r="C19" s="83">
        <v>3612500</v>
      </c>
      <c r="D19" s="91" t="str">
        <f t="shared" si="3"/>
        <v>생산중단</v>
      </c>
      <c r="E19" s="26"/>
      <c r="F19" s="26"/>
      <c r="G19" s="81" t="s">
        <v>1115</v>
      </c>
      <c r="H19" s="84">
        <v>76</v>
      </c>
      <c r="I19" s="84">
        <v>86</v>
      </c>
      <c r="J19" s="81">
        <f t="shared" si="2"/>
        <v>162</v>
      </c>
      <c r="K19" s="91" t="str">
        <f t="shared" si="4"/>
        <v/>
      </c>
    </row>
    <row r="20" spans="1:11" x14ac:dyDescent="0.3">
      <c r="A20" s="81" t="s">
        <v>1116</v>
      </c>
      <c r="B20" s="83">
        <v>685</v>
      </c>
      <c r="C20" s="83">
        <v>8562500</v>
      </c>
      <c r="D20" s="91" t="str">
        <f t="shared" si="3"/>
        <v>재생산</v>
      </c>
      <c r="E20" s="26"/>
      <c r="F20" s="26"/>
      <c r="G20" s="81" t="s">
        <v>1117</v>
      </c>
      <c r="H20" s="84">
        <v>62</v>
      </c>
      <c r="I20" s="84">
        <v>88</v>
      </c>
      <c r="J20" s="81">
        <f t="shared" si="2"/>
        <v>150</v>
      </c>
      <c r="K20" s="91" t="str">
        <f t="shared" si="4"/>
        <v/>
      </c>
    </row>
    <row r="21" spans="1:11" x14ac:dyDescent="0.3">
      <c r="A21" s="81" t="s">
        <v>1118</v>
      </c>
      <c r="B21" s="83">
        <v>917</v>
      </c>
      <c r="C21" s="83">
        <v>11462500</v>
      </c>
      <c r="D21" s="91" t="str">
        <f t="shared" si="3"/>
        <v>재생산</v>
      </c>
      <c r="E21" s="26"/>
      <c r="F21" s="26"/>
      <c r="G21" s="81" t="s">
        <v>1119</v>
      </c>
      <c r="H21" s="84">
        <v>92</v>
      </c>
      <c r="I21" s="84">
        <v>96</v>
      </c>
      <c r="J21" s="81">
        <f t="shared" si="2"/>
        <v>188</v>
      </c>
      <c r="K21" s="91" t="str">
        <f t="shared" si="4"/>
        <v>최고점수</v>
      </c>
    </row>
    <row r="22" spans="1:11" x14ac:dyDescent="0.3">
      <c r="A22" s="81" t="s">
        <v>1120</v>
      </c>
      <c r="B22" s="83">
        <v>862</v>
      </c>
      <c r="C22" s="83">
        <v>10775000</v>
      </c>
      <c r="D22" s="91" t="str">
        <f t="shared" si="3"/>
        <v>재생산</v>
      </c>
      <c r="E22" s="26"/>
      <c r="F22" s="26"/>
      <c r="G22" s="81" t="s">
        <v>1121</v>
      </c>
      <c r="H22" s="84">
        <v>85</v>
      </c>
      <c r="I22" s="84">
        <v>80</v>
      </c>
      <c r="J22" s="81">
        <f t="shared" si="2"/>
        <v>165</v>
      </c>
      <c r="K22" s="91" t="str">
        <f t="shared" si="4"/>
        <v/>
      </c>
    </row>
    <row r="23" spans="1:11" x14ac:dyDescent="0.3">
      <c r="A23" s="81" t="s">
        <v>1122</v>
      </c>
      <c r="B23" s="83">
        <v>571</v>
      </c>
      <c r="C23" s="83">
        <v>7137500</v>
      </c>
      <c r="D23" s="91" t="str">
        <f t="shared" si="3"/>
        <v>재생산</v>
      </c>
      <c r="E23" s="26"/>
      <c r="F23" s="26"/>
      <c r="G23" s="81" t="s">
        <v>1123</v>
      </c>
      <c r="H23" s="84">
        <v>62</v>
      </c>
      <c r="I23" s="84">
        <v>77</v>
      </c>
      <c r="J23" s="81">
        <f t="shared" si="2"/>
        <v>139</v>
      </c>
      <c r="K23" s="91" t="str">
        <f t="shared" si="4"/>
        <v>최저점수</v>
      </c>
    </row>
    <row r="24" spans="1:11" x14ac:dyDescent="0.3">
      <c r="A24" s="81" t="s">
        <v>1124</v>
      </c>
      <c r="B24" s="83">
        <v>295</v>
      </c>
      <c r="C24" s="83">
        <v>3687500</v>
      </c>
      <c r="D24" s="91" t="str">
        <f t="shared" si="3"/>
        <v>생산중단</v>
      </c>
      <c r="E24" s="26"/>
      <c r="F24" s="26"/>
      <c r="G24" s="81" t="s">
        <v>1125</v>
      </c>
      <c r="H24" s="84">
        <v>73</v>
      </c>
      <c r="I24" s="84">
        <v>68</v>
      </c>
      <c r="J24" s="81">
        <f t="shared" si="2"/>
        <v>141</v>
      </c>
      <c r="K24" s="91" t="str">
        <f t="shared" si="4"/>
        <v/>
      </c>
    </row>
    <row r="25" spans="1:11" x14ac:dyDescent="0.3">
      <c r="A25" s="81" t="s">
        <v>1126</v>
      </c>
      <c r="B25" s="83">
        <v>384</v>
      </c>
      <c r="C25" s="83">
        <v>4800000</v>
      </c>
      <c r="D25" s="91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81" t="s">
        <v>1127</v>
      </c>
      <c r="B26" s="83">
        <v>166</v>
      </c>
      <c r="C26" s="83">
        <v>2075000</v>
      </c>
      <c r="D26" s="91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5" t="s">
        <v>1160</v>
      </c>
      <c r="B29" s="115" t="s">
        <v>1157</v>
      </c>
      <c r="C29" s="115" t="s">
        <v>1159</v>
      </c>
      <c r="D29" s="116" t="s">
        <v>1158</v>
      </c>
      <c r="G29" s="115" t="s">
        <v>664</v>
      </c>
      <c r="H29" s="115" t="s">
        <v>174</v>
      </c>
      <c r="I29" s="115" t="s">
        <v>482</v>
      </c>
      <c r="J29" s="116" t="s">
        <v>116</v>
      </c>
    </row>
    <row r="30" spans="1:11" x14ac:dyDescent="0.3">
      <c r="A30" s="115">
        <v>50123</v>
      </c>
      <c r="B30" s="73">
        <v>45933</v>
      </c>
      <c r="C30" s="117">
        <v>120000</v>
      </c>
      <c r="D30" s="91" t="str" cm="1">
        <f t="array" ref="D30">_xlfn.SWITCH(WEEKDAY(B30,2),1,"월",2,"화",3,"수",4,"목",5,"금",6,"토",7,"일")</f>
        <v>금</v>
      </c>
      <c r="G30" s="115" t="s">
        <v>671</v>
      </c>
      <c r="H30" s="115" t="s">
        <v>183</v>
      </c>
      <c r="I30" s="115" t="s">
        <v>369</v>
      </c>
      <c r="J30" s="91" t="str" cm="1">
        <f t="array" ref="J30">_xlfn.IFS(LEFT(G30,1)="P","생산부",LEFT(G30,1)="B","영업부",LEFT(G30,1)="E","관리부")</f>
        <v>생산부</v>
      </c>
    </row>
    <row r="31" spans="1:11" x14ac:dyDescent="0.3">
      <c r="A31" s="115">
        <v>50124</v>
      </c>
      <c r="B31" s="73">
        <v>45936</v>
      </c>
      <c r="C31" s="117">
        <v>320000</v>
      </c>
      <c r="D31" s="91" t="str" cm="1">
        <f t="array" ref="D31">_xlfn.SWITCH(WEEKDAY(B31,2),1,"월",2,"화",3,"수",4,"목",5,"금",6,"토",7,"일")</f>
        <v>월</v>
      </c>
      <c r="G31" s="115" t="s">
        <v>674</v>
      </c>
      <c r="H31" s="115" t="s">
        <v>183</v>
      </c>
      <c r="I31" s="115" t="s">
        <v>369</v>
      </c>
      <c r="J31" s="91" t="str" cm="1">
        <f t="array" ref="J31">_xlfn.IFS(LEFT(G31,1)="P","생산부",LEFT(G31,1)="B","영업부",LEFT(G31,1)="E","관리부")</f>
        <v>관리부</v>
      </c>
    </row>
    <row r="32" spans="1:11" x14ac:dyDescent="0.3">
      <c r="A32" s="115">
        <v>50125</v>
      </c>
      <c r="B32" s="73">
        <v>45948</v>
      </c>
      <c r="C32" s="117">
        <v>180000</v>
      </c>
      <c r="D32" s="91" t="str" cm="1">
        <f t="array" ref="D32">_xlfn.SWITCH(WEEKDAY(B32,2),1,"월",2,"화",3,"수",4,"목",5,"금",6,"토",7,"일")</f>
        <v>토</v>
      </c>
      <c r="G32" s="115" t="s">
        <v>676</v>
      </c>
      <c r="H32" s="115" t="s">
        <v>188</v>
      </c>
      <c r="I32" s="115" t="s">
        <v>369</v>
      </c>
      <c r="J32" s="91" t="str" cm="1">
        <f t="array" ref="J32">_xlfn.IFS(LEFT(G32,1)="P","생산부",LEFT(G32,1)="B","영업부",LEFT(G32,1)="E","관리부")</f>
        <v>영업부</v>
      </c>
    </row>
    <row r="33" spans="1:10" x14ac:dyDescent="0.3">
      <c r="A33" s="115">
        <v>50126</v>
      </c>
      <c r="B33" s="73">
        <v>45952</v>
      </c>
      <c r="C33" s="117">
        <v>150000</v>
      </c>
      <c r="D33" s="91" t="str" cm="1">
        <f t="array" ref="D33">_xlfn.SWITCH(WEEKDAY(B33,2),1,"월",2,"화",3,"수",4,"목",5,"금",6,"토",7,"일")</f>
        <v>수</v>
      </c>
      <c r="G33" s="115" t="s">
        <v>678</v>
      </c>
      <c r="H33" s="115" t="s">
        <v>188</v>
      </c>
      <c r="I33" s="115" t="s">
        <v>232</v>
      </c>
      <c r="J33" s="91" t="str" cm="1">
        <f t="array" ref="J33">_xlfn.IFS(LEFT(G33,1)="P","생산부",LEFT(G33,1)="B","영업부",LEFT(G33,1)="E","관리부")</f>
        <v>생산부</v>
      </c>
    </row>
    <row r="34" spans="1:10" x14ac:dyDescent="0.3">
      <c r="A34" s="115">
        <v>50127</v>
      </c>
      <c r="B34" s="73">
        <v>45961</v>
      </c>
      <c r="C34" s="117">
        <v>510000</v>
      </c>
      <c r="D34" s="91" t="str" cm="1">
        <f t="array" ref="D34">_xlfn.SWITCH(WEEKDAY(B34,2),1,"월",2,"화",3,"수",4,"목",5,"금",6,"토",7,"일")</f>
        <v>금</v>
      </c>
      <c r="G34" s="115" t="s">
        <v>680</v>
      </c>
      <c r="H34" s="115" t="s">
        <v>183</v>
      </c>
      <c r="I34" s="115" t="s">
        <v>232</v>
      </c>
      <c r="J34" s="91" t="str" cm="1">
        <f t="array" ref="J34">_xlfn.IFS(LEFT(G34,1)="P","생산부",LEFT(G34,1)="B","영업부",LEFT(G34,1)="E","관리부")</f>
        <v>영업부</v>
      </c>
    </row>
    <row r="35" spans="1:10" x14ac:dyDescent="0.3">
      <c r="A35" s="115">
        <v>50128</v>
      </c>
      <c r="B35" s="73">
        <v>45965</v>
      </c>
      <c r="C35" s="117">
        <v>420000</v>
      </c>
      <c r="D35" s="91" t="str" cm="1">
        <f t="array" ref="D35">_xlfn.SWITCH(WEEKDAY(B35,2),1,"월",2,"화",3,"수",4,"목",5,"금",6,"토",7,"일")</f>
        <v>화</v>
      </c>
      <c r="G35" s="115" t="s">
        <v>682</v>
      </c>
      <c r="H35" s="115" t="s">
        <v>188</v>
      </c>
      <c r="I35" s="115" t="s">
        <v>238</v>
      </c>
      <c r="J35" s="91" t="str" cm="1">
        <f t="array" ref="J35">_xlfn.IFS(LEFT(G35,1)="P","생산부",LEFT(G35,1)="B","영업부",LEFT(G35,1)="E","관리부")</f>
        <v>영업부</v>
      </c>
    </row>
    <row r="36" spans="1:10" x14ac:dyDescent="0.3">
      <c r="A36" s="115">
        <v>50129</v>
      </c>
      <c r="B36" s="73">
        <v>45970</v>
      </c>
      <c r="C36" s="117">
        <v>740000</v>
      </c>
      <c r="D36" s="91" t="str" cm="1">
        <f t="array" ref="D36">_xlfn.SWITCH(WEEKDAY(B36,2),1,"월",2,"화",3,"수",4,"목",5,"금",6,"토",7,"일")</f>
        <v>일</v>
      </c>
      <c r="G36" s="115" t="s">
        <v>684</v>
      </c>
      <c r="H36" s="115" t="s">
        <v>183</v>
      </c>
      <c r="I36" s="115" t="s">
        <v>238</v>
      </c>
      <c r="J36" s="91" t="str" cm="1">
        <f t="array" ref="J36">_xlfn.IFS(LEFT(G36,1)="P","생산부",LEFT(G36,1)="B","영업부",LEFT(G36,1)="E","관리부")</f>
        <v>관리부</v>
      </c>
    </row>
    <row r="37" spans="1:10" x14ac:dyDescent="0.3">
      <c r="A37" s="115">
        <v>50130</v>
      </c>
      <c r="B37" s="73">
        <v>45981</v>
      </c>
      <c r="C37" s="117">
        <v>654000</v>
      </c>
      <c r="D37" s="91" t="str" cm="1">
        <f t="array" ref="D37">_xlfn.SWITCH(WEEKDAY(B37,2),1,"월",2,"화",3,"수",4,"목",5,"금",6,"토",7,"일")</f>
        <v>목</v>
      </c>
      <c r="G37" s="115" t="s">
        <v>686</v>
      </c>
      <c r="H37" s="115" t="s">
        <v>183</v>
      </c>
      <c r="I37" s="115" t="s">
        <v>238</v>
      </c>
      <c r="J37" s="91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계산</vt:lpstr>
      <vt:lpstr>계산(결과)</vt:lpstr>
      <vt:lpstr>데이터베이스</vt:lpstr>
      <vt:lpstr>데이터베이스(결과)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2020-04-05T12:37:38Z</dcterms:created>
  <dcterms:modified xsi:type="dcterms:W3CDTF">2026-07-15T12:52:04Z</dcterms:modified>
</cp:coreProperties>
</file>
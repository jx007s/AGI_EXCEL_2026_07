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blic\mbc\agi_excel_2026_07\public\기본서\26컴활2급\이론\"/>
    </mc:Choice>
  </mc:AlternateContent>
  <xr:revisionPtr revIDLastSave="0" documentId="13_ncr:1_{F95EAF23-C8A0-44F6-A466-95A7527EE154}" xr6:coauthVersionLast="47" xr6:coauthVersionMax="47" xr10:uidLastSave="{00000000-0000-0000-0000-000000000000}"/>
  <bookViews>
    <workbookView xWindow="22932" yWindow="-108" windowWidth="23256" windowHeight="12576" activeTab="1" xr2:uid="{FAEC01E4-8891-488A-969B-48B02C20ED40}"/>
  </bookViews>
  <sheets>
    <sheet name="count함수" sheetId="1" r:id="rId1"/>
    <sheet name="수학함수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" i="2" l="1"/>
  <c r="K6" i="2"/>
  <c r="K7" i="2"/>
  <c r="K8" i="2"/>
  <c r="K9" i="2"/>
  <c r="K10" i="2"/>
  <c r="K11" i="2"/>
  <c r="K12" i="2"/>
  <c r="K13" i="2"/>
  <c r="K14" i="2"/>
  <c r="K15" i="2"/>
  <c r="K16" i="2"/>
  <c r="K4" i="2"/>
  <c r="E21" i="2"/>
  <c r="E20" i="2"/>
  <c r="E19" i="2"/>
  <c r="E18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I5" i="2"/>
  <c r="I6" i="2"/>
  <c r="I7" i="2"/>
  <c r="I8" i="2"/>
  <c r="I9" i="2"/>
  <c r="I10" i="2"/>
  <c r="I11" i="2"/>
  <c r="I12" i="2"/>
  <c r="I13" i="2"/>
  <c r="I14" i="2"/>
  <c r="I15" i="2"/>
  <c r="I16" i="2"/>
  <c r="I4" i="2"/>
  <c r="H5" i="2"/>
  <c r="H6" i="2"/>
  <c r="H7" i="2"/>
  <c r="H8" i="2"/>
  <c r="H9" i="2"/>
  <c r="H10" i="2"/>
  <c r="H11" i="2"/>
  <c r="H12" i="2"/>
  <c r="H13" i="2"/>
  <c r="H14" i="2"/>
  <c r="H15" i="2"/>
  <c r="H16" i="2"/>
  <c r="H4" i="2"/>
  <c r="G5" i="2"/>
  <c r="G6" i="2"/>
  <c r="G7" i="2"/>
  <c r="G8" i="2"/>
  <c r="G9" i="2"/>
  <c r="G10" i="2"/>
  <c r="G11" i="2"/>
  <c r="G12" i="2"/>
  <c r="G13" i="2"/>
  <c r="G14" i="2"/>
  <c r="G15" i="2"/>
  <c r="G16" i="2"/>
  <c r="G4" i="2"/>
  <c r="F4" i="2" a="1"/>
  <c r="F4" i="2" s="1"/>
  <c r="E5" i="2"/>
  <c r="E6" i="2"/>
  <c r="E7" i="2"/>
  <c r="E8" i="2"/>
  <c r="E9" i="2"/>
  <c r="E10" i="2"/>
  <c r="E11" i="2"/>
  <c r="E12" i="2"/>
  <c r="E13" i="2"/>
  <c r="E14" i="2"/>
  <c r="E15" i="2"/>
  <c r="E16" i="2"/>
  <c r="E4" i="2"/>
  <c r="D5" i="2"/>
  <c r="D6" i="2"/>
  <c r="D7" i="2"/>
  <c r="D8" i="2"/>
  <c r="D9" i="2"/>
  <c r="D10" i="2"/>
  <c r="D11" i="2"/>
  <c r="D12" i="2"/>
  <c r="D13" i="2"/>
  <c r="D14" i="2"/>
  <c r="D15" i="2"/>
  <c r="D16" i="2"/>
  <c r="D4" i="2"/>
  <c r="C5" i="2"/>
  <c r="C6" i="2"/>
  <c r="C7" i="2"/>
  <c r="C8" i="2"/>
  <c r="C9" i="2"/>
  <c r="C10" i="2"/>
  <c r="C11" i="2"/>
  <c r="C12" i="2"/>
  <c r="C13" i="2"/>
  <c r="C14" i="2"/>
  <c r="C15" i="2"/>
  <c r="C16" i="2"/>
  <c r="C4" i="2"/>
  <c r="D20" i="1"/>
  <c r="D19" i="1"/>
  <c r="D18" i="1"/>
  <c r="D17" i="1"/>
  <c r="D16" i="1"/>
  <c r="E11" i="1"/>
  <c r="E10" i="1"/>
  <c r="E9" i="1"/>
  <c r="E8" i="1"/>
  <c r="E7" i="1"/>
  <c r="E6" i="1"/>
  <c r="E5" i="1"/>
  <c r="F3" i="1"/>
  <c r="E2" i="1"/>
  <c r="E4" i="1" s="1"/>
  <c r="E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<sst xmlns="http://schemas.openxmlformats.org/spreadsheetml/2006/main" count="57" uniqueCount="53">
  <si>
    <t>더하기</t>
    <phoneticPr fontId="1" type="noConversion"/>
  </si>
  <si>
    <t>SUM</t>
    <phoneticPr fontId="1" type="noConversion"/>
  </si>
  <si>
    <t>평균</t>
    <phoneticPr fontId="1" type="noConversion"/>
  </si>
  <si>
    <t>AVERAGE</t>
    <phoneticPr fontId="1" type="noConversion"/>
  </si>
  <si>
    <t>COUNT</t>
    <phoneticPr fontId="1" type="noConversion"/>
  </si>
  <si>
    <t>MAX</t>
    <phoneticPr fontId="1" type="noConversion"/>
  </si>
  <si>
    <t>MIN</t>
    <phoneticPr fontId="1" type="noConversion"/>
  </si>
  <si>
    <t>LARGE(범주,숫자)</t>
    <phoneticPr fontId="1" type="noConversion"/>
  </si>
  <si>
    <t>범주에서 숫자번째 큰 값</t>
    <phoneticPr fontId="1" type="noConversion"/>
  </si>
  <si>
    <t>SMALL(범주,숫자)</t>
    <phoneticPr fontId="1" type="noConversion"/>
  </si>
  <si>
    <t>MEDIAN(범주)</t>
    <phoneticPr fontId="1" type="noConversion"/>
  </si>
  <si>
    <t>아기상어</t>
    <phoneticPr fontId="1" type="noConversion"/>
  </si>
  <si>
    <t>엄마상어</t>
    <phoneticPr fontId="1" type="noConversion"/>
  </si>
  <si>
    <t>범주의 숫자만 인식</t>
    <phoneticPr fontId="1" type="noConversion"/>
  </si>
  <si>
    <t>COUNT(범주)</t>
    <phoneticPr fontId="1" type="noConversion"/>
  </si>
  <si>
    <t>범주에서 빈칸아닌 것 인식</t>
    <phoneticPr fontId="1" type="noConversion"/>
  </si>
  <si>
    <t>COUNTBLANK(범주)</t>
    <phoneticPr fontId="1" type="noConversion"/>
  </si>
  <si>
    <t>범주에서 빈칸 인식</t>
    <phoneticPr fontId="1" type="noConversion"/>
  </si>
  <si>
    <t>COUNTA(범주)</t>
    <phoneticPr fontId="1" type="noConversion"/>
  </si>
  <si>
    <t>COUNTIF(범주,"조건")</t>
    <phoneticPr fontId="1" type="noConversion"/>
  </si>
  <si>
    <t>범주에서 조건에 맞는 것 인식</t>
    <phoneticPr fontId="1" type="noConversion"/>
  </si>
  <si>
    <t>점수</t>
    <phoneticPr fontId="1" type="noConversion"/>
  </si>
  <si>
    <t>&gt;=60</t>
    <phoneticPr fontId="1" type="noConversion"/>
  </si>
  <si>
    <t>응시</t>
    <phoneticPr fontId="1" type="noConversion"/>
  </si>
  <si>
    <t>DCOUNT(데이터베이스,열번호,조건범주)</t>
    <phoneticPr fontId="1" type="noConversion"/>
  </si>
  <si>
    <t>데이터베이스에서 조건범주에 적합한 열번호의 숫자값만 인식</t>
    <phoneticPr fontId="1" type="noConversion"/>
  </si>
  <si>
    <t>round(숫자,소숫점자리)</t>
    <phoneticPr fontId="1" type="noConversion"/>
  </si>
  <si>
    <t>반올림</t>
    <phoneticPr fontId="1" type="noConversion"/>
  </si>
  <si>
    <t>올림</t>
    <phoneticPr fontId="1" type="noConversion"/>
  </si>
  <si>
    <t>소숫점자리 이하가 
존재하면 올림</t>
    <phoneticPr fontId="1" type="noConversion"/>
  </si>
  <si>
    <t>ROUNDDOWN(B4,0)</t>
    <phoneticPr fontId="1" type="noConversion"/>
  </si>
  <si>
    <t>내림</t>
    <phoneticPr fontId="1" type="noConversion"/>
  </si>
  <si>
    <t>소숫점자리 이하절삭</t>
    <phoneticPr fontId="1" type="noConversion"/>
  </si>
  <si>
    <t>ROUNDDOWN(B4,1)</t>
    <phoneticPr fontId="1" type="noConversion"/>
  </si>
  <si>
    <t>TRUNC(B4,1)</t>
    <phoneticPr fontId="1" type="noConversion"/>
  </si>
  <si>
    <t>int(b4)</t>
    <phoneticPr fontId="1" type="noConversion"/>
  </si>
  <si>
    <t>ROUNDUP(B4:B15,0)</t>
    <phoneticPr fontId="1" type="noConversion"/>
  </si>
  <si>
    <t>ROUND(B4,-1)</t>
    <phoneticPr fontId="1" type="noConversion"/>
  </si>
  <si>
    <t>ROUND(B4,0)</t>
    <phoneticPr fontId="1" type="noConversion"/>
  </si>
  <si>
    <t>ROUND(B4,1)</t>
    <phoneticPr fontId="1" type="noConversion"/>
  </si>
  <si>
    <t>ROUNDDOWN과 같음</t>
    <phoneticPr fontId="1" type="noConversion"/>
  </si>
  <si>
    <t>정수화</t>
    <phoneticPr fontId="1" type="noConversion"/>
  </si>
  <si>
    <t>ROUND(숫자,0) 과 같음</t>
    <phoneticPr fontId="1" type="noConversion"/>
  </si>
  <si>
    <t>POWER(2,4)</t>
  </si>
  <si>
    <t>2의 4승</t>
    <phoneticPr fontId="1" type="noConversion"/>
  </si>
  <si>
    <t>MOD(15,7)</t>
    <phoneticPr fontId="1" type="noConversion"/>
  </si>
  <si>
    <t>15를 7로 나눈 나머지</t>
    <phoneticPr fontId="1" type="noConversion"/>
  </si>
  <si>
    <t>RAND()</t>
    <phoneticPr fontId="1" type="noConversion"/>
  </si>
  <si>
    <t>0&lt;n&lt;1 사이의 난수발생</t>
    <phoneticPr fontId="1" type="noConversion"/>
  </si>
  <si>
    <t>RANDBETWEEN(1,5)</t>
    <phoneticPr fontId="1" type="noConversion"/>
  </si>
  <si>
    <t>1&lt;=n&lt;=5 사이의 난수(정수)발생</t>
    <phoneticPr fontId="1" type="noConversion"/>
  </si>
  <si>
    <t>abs(b4)</t>
    <phoneticPr fontId="1" type="noConversion"/>
  </si>
  <si>
    <t>절대값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</si>
</sst>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A2A30-9B8A-4C80-A234-B75F493AA6CB}">
  <dimension ref="B2:F40"/>
  <sheetViews>
    <sheetView topLeftCell="A32" zoomScale="175" zoomScaleNormal="175" workbookViewId="0">
      <selection activeCell="E19" sqref="E19"/>
    </sheetView>
  </sheetViews>
  <sheetFormatPr defaultRowHeight="16.5" x14ac:dyDescent="0.3"/>
  <cols>
    <col min="4" max="4" width="28.625" customWidth="1"/>
    <col min="5" max="5" width="34.375" bestFit="1" customWidth="1"/>
  </cols>
  <sheetData>
    <row r="2" spans="2:6" x14ac:dyDescent="0.3">
      <c r="B2">
        <v>67</v>
      </c>
      <c r="D2" t="s">
        <v>0</v>
      </c>
      <c r="E2">
        <f>B2+B3+B4+B5+B6+B7+B8</f>
        <v>452</v>
      </c>
    </row>
    <row r="3" spans="2:6" x14ac:dyDescent="0.3">
      <c r="B3">
        <v>78</v>
      </c>
      <c r="D3" t="s">
        <v>1</v>
      </c>
      <c r="E3">
        <f>SUM(67,78,92,89,43,25,58)</f>
        <v>452</v>
      </c>
      <c r="F3">
        <f>SUM(B2:B8)</f>
        <v>452</v>
      </c>
    </row>
    <row r="4" spans="2:6" x14ac:dyDescent="0.3">
      <c r="B4">
        <v>92</v>
      </c>
      <c r="D4" t="s">
        <v>2</v>
      </c>
      <c r="E4">
        <f>E2/7</f>
        <v>64.571428571428569</v>
      </c>
    </row>
    <row r="5" spans="2:6" x14ac:dyDescent="0.3">
      <c r="B5">
        <v>89</v>
      </c>
      <c r="D5" t="s">
        <v>3</v>
      </c>
      <c r="E5">
        <f>AVERAGE(B2:B8)</f>
        <v>64.571428571428569</v>
      </c>
    </row>
    <row r="6" spans="2:6" x14ac:dyDescent="0.3">
      <c r="B6">
        <v>43</v>
      </c>
      <c r="D6" t="s">
        <v>4</v>
      </c>
      <c r="E6">
        <f>COUNT(B2:B8)</f>
        <v>7</v>
      </c>
    </row>
    <row r="7" spans="2:6" x14ac:dyDescent="0.3">
      <c r="B7">
        <v>25</v>
      </c>
      <c r="D7" t="s">
        <v>5</v>
      </c>
      <c r="E7">
        <f>MAX(B2:B8)</f>
        <v>92</v>
      </c>
    </row>
    <row r="8" spans="2:6" x14ac:dyDescent="0.3">
      <c r="B8">
        <v>58</v>
      </c>
      <c r="D8" t="s">
        <v>6</v>
      </c>
      <c r="E8">
        <f>MIN(B2:B8)</f>
        <v>25</v>
      </c>
    </row>
    <row r="9" spans="2:6" x14ac:dyDescent="0.3">
      <c r="D9" t="s">
        <v>7</v>
      </c>
      <c r="E9">
        <f>LARGE(B2:B8,3)</f>
        <v>78</v>
      </c>
      <c r="F9" t="s">
        <v>8</v>
      </c>
    </row>
    <row r="10" spans="2:6" x14ac:dyDescent="0.3">
      <c r="D10" t="s">
        <v>9</v>
      </c>
      <c r="E10">
        <f>SMALL(B2:B8,2)</f>
        <v>43</v>
      </c>
    </row>
    <row r="11" spans="2:6" x14ac:dyDescent="0.3">
      <c r="D11" t="s">
        <v>10</v>
      </c>
      <c r="E11">
        <f>MEDIAN(B2:B8)</f>
        <v>67</v>
      </c>
    </row>
    <row r="16" spans="2:6" x14ac:dyDescent="0.3">
      <c r="B16">
        <v>67</v>
      </c>
      <c r="D16">
        <f>COUNT(B16:B26)</f>
        <v>7</v>
      </c>
      <c r="E16" t="s">
        <v>14</v>
      </c>
      <c r="F16" t="s">
        <v>13</v>
      </c>
    </row>
    <row r="17" spans="2:6" x14ac:dyDescent="0.3">
      <c r="B17">
        <v>78</v>
      </c>
      <c r="D17">
        <f>COUNTA(B16:B26)</f>
        <v>9</v>
      </c>
      <c r="E17" t="s">
        <v>18</v>
      </c>
      <c r="F17" t="s">
        <v>15</v>
      </c>
    </row>
    <row r="18" spans="2:6" x14ac:dyDescent="0.3">
      <c r="B18">
        <v>92</v>
      </c>
      <c r="D18">
        <f>COUNTBLANK(B16:B26)</f>
        <v>2</v>
      </c>
      <c r="E18" t="s">
        <v>16</v>
      </c>
      <c r="F18" t="s">
        <v>17</v>
      </c>
    </row>
    <row r="19" spans="2:6" x14ac:dyDescent="0.3">
      <c r="D19">
        <f>COUNTIF(B16:B26,"&gt;=60")</f>
        <v>4</v>
      </c>
      <c r="E19" t="s">
        <v>19</v>
      </c>
      <c r="F19" t="s">
        <v>20</v>
      </c>
    </row>
    <row r="20" spans="2:6" x14ac:dyDescent="0.3">
      <c r="B20">
        <v>89</v>
      </c>
      <c r="D20">
        <f>DCOUNT(B29:C40,2,E30:E31)</f>
        <v>3</v>
      </c>
      <c r="E20" t="s">
        <v>24</v>
      </c>
      <c r="F20" t="s">
        <v>25</v>
      </c>
    </row>
    <row r="21" spans="2:6" x14ac:dyDescent="0.3">
      <c r="B21">
        <v>43</v>
      </c>
    </row>
    <row r="22" spans="2:6" x14ac:dyDescent="0.3">
      <c r="B22" t="s">
        <v>11</v>
      </c>
    </row>
    <row r="24" spans="2:6" x14ac:dyDescent="0.3">
      <c r="B24">
        <v>25</v>
      </c>
    </row>
    <row r="25" spans="2:6" x14ac:dyDescent="0.3">
      <c r="B25">
        <v>58</v>
      </c>
    </row>
    <row r="26" spans="2:6" x14ac:dyDescent="0.3">
      <c r="B26" t="s">
        <v>12</v>
      </c>
    </row>
    <row r="29" spans="2:6" x14ac:dyDescent="0.3">
      <c r="B29" t="s">
        <v>21</v>
      </c>
      <c r="C29" t="s">
        <v>23</v>
      </c>
    </row>
    <row r="30" spans="2:6" x14ac:dyDescent="0.3">
      <c r="B30">
        <v>67</v>
      </c>
      <c r="C30">
        <v>45</v>
      </c>
      <c r="E30" t="s">
        <v>21</v>
      </c>
    </row>
    <row r="31" spans="2:6" x14ac:dyDescent="0.3">
      <c r="B31">
        <v>78</v>
      </c>
      <c r="C31">
        <v>1</v>
      </c>
      <c r="E31" t="s">
        <v>22</v>
      </c>
    </row>
    <row r="32" spans="2:6" x14ac:dyDescent="0.3">
      <c r="B32">
        <v>92</v>
      </c>
      <c r="C32">
        <v>5</v>
      </c>
    </row>
    <row r="34" spans="2:3" x14ac:dyDescent="0.3">
      <c r="B34">
        <v>89</v>
      </c>
    </row>
    <row r="35" spans="2:3" x14ac:dyDescent="0.3">
      <c r="B35">
        <v>43</v>
      </c>
      <c r="C35">
        <v>25</v>
      </c>
    </row>
    <row r="36" spans="2:3" x14ac:dyDescent="0.3">
      <c r="B36" t="s">
        <v>11</v>
      </c>
    </row>
    <row r="38" spans="2:3" x14ac:dyDescent="0.3">
      <c r="B38">
        <v>25</v>
      </c>
      <c r="C38">
        <v>78</v>
      </c>
    </row>
    <row r="39" spans="2:3" x14ac:dyDescent="0.3">
      <c r="B39">
        <v>58</v>
      </c>
    </row>
    <row r="40" spans="2:3" x14ac:dyDescent="0.3">
      <c r="B40" t="s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3765-E41D-4F44-BEE4-1988A159CA54}">
  <dimension ref="B1:K21"/>
  <sheetViews>
    <sheetView tabSelected="1" topLeftCell="A16" zoomScale="145" zoomScaleNormal="145" workbookViewId="0">
      <selection activeCell="F21" sqref="F21"/>
    </sheetView>
  </sheetViews>
  <sheetFormatPr defaultRowHeight="16.5" x14ac:dyDescent="0.3"/>
  <cols>
    <col min="3" max="3" width="22.625" bestFit="1" customWidth="1"/>
    <col min="4" max="4" width="13.375" bestFit="1" customWidth="1"/>
    <col min="5" max="5" width="14.125" bestFit="1" customWidth="1"/>
    <col min="6" max="8" width="20" bestFit="1" customWidth="1"/>
    <col min="9" max="9" width="21.625" bestFit="1" customWidth="1"/>
    <col min="10" max="10" width="14.5" customWidth="1"/>
  </cols>
  <sheetData>
    <row r="1" spans="2:11" x14ac:dyDescent="0.3">
      <c r="C1" t="s">
        <v>27</v>
      </c>
      <c r="F1" t="s">
        <v>28</v>
      </c>
      <c r="G1" t="s">
        <v>31</v>
      </c>
      <c r="I1" t="s">
        <v>31</v>
      </c>
      <c r="J1" t="s">
        <v>41</v>
      </c>
      <c r="K1" t="s">
        <v>52</v>
      </c>
    </row>
    <row r="2" spans="2:11" ht="33" x14ac:dyDescent="0.3">
      <c r="C2" t="s">
        <v>26</v>
      </c>
      <c r="F2" s="1" t="s">
        <v>29</v>
      </c>
      <c r="G2" t="s">
        <v>32</v>
      </c>
      <c r="I2" t="s">
        <v>40</v>
      </c>
      <c r="J2" t="s">
        <v>42</v>
      </c>
    </row>
    <row r="3" spans="2:11" x14ac:dyDescent="0.3">
      <c r="C3" t="s">
        <v>39</v>
      </c>
      <c r="D3" t="s">
        <v>38</v>
      </c>
      <c r="E3" t="s">
        <v>37</v>
      </c>
      <c r="F3" t="s">
        <v>36</v>
      </c>
      <c r="G3" t="s">
        <v>30</v>
      </c>
      <c r="H3" t="s">
        <v>33</v>
      </c>
      <c r="I3" t="s">
        <v>34</v>
      </c>
      <c r="J3" t="s">
        <v>35</v>
      </c>
      <c r="K3" t="s">
        <v>51</v>
      </c>
    </row>
    <row r="4" spans="2:11" x14ac:dyDescent="0.3">
      <c r="B4">
        <v>11</v>
      </c>
      <c r="C4">
        <f>ROUND(B4,1)</f>
        <v>11</v>
      </c>
      <c r="D4">
        <f>ROUND(B4,0)</f>
        <v>11</v>
      </c>
      <c r="E4">
        <f>ROUND(B4,-1)</f>
        <v>10</v>
      </c>
      <c r="F4" cm="1">
        <f t="array" ref="F4:F16">ROUNDUP(B4:B16,0)</f>
        <v>11</v>
      </c>
      <c r="G4">
        <f>ROUNDDOWN(B4,0)</f>
        <v>11</v>
      </c>
      <c r="H4">
        <f>ROUNDDOWN(B4,1)</f>
        <v>11</v>
      </c>
      <c r="I4">
        <f>TRUNC(B4,1)</f>
        <v>11</v>
      </c>
      <c r="J4">
        <f>INT(B4)</f>
        <v>11</v>
      </c>
      <c r="K4">
        <f>ABS(B4)</f>
        <v>11</v>
      </c>
    </row>
    <row r="5" spans="2:11" x14ac:dyDescent="0.3">
      <c r="B5">
        <v>22</v>
      </c>
      <c r="C5">
        <f t="shared" ref="C5:C16" si="0">ROUND(B5,1)</f>
        <v>22</v>
      </c>
      <c r="D5">
        <f t="shared" ref="D5:D16" si="1">ROUND(B5,0)</f>
        <v>22</v>
      </c>
      <c r="E5">
        <f t="shared" ref="E5:E16" si="2">ROUND(B5,-1)</f>
        <v>20</v>
      </c>
      <c r="F5">
        <v>22</v>
      </c>
      <c r="G5">
        <f t="shared" ref="G5:G16" si="3">ROUNDDOWN(B5,0)</f>
        <v>22</v>
      </c>
      <c r="H5">
        <f t="shared" ref="H5:H16" si="4">ROUNDDOWN(B5,1)</f>
        <v>22</v>
      </c>
      <c r="I5">
        <f t="shared" ref="I5:I16" si="5">TRUNC(B5,1)</f>
        <v>22</v>
      </c>
      <c r="J5">
        <f t="shared" ref="J5:J16" si="6">INT(B5)</f>
        <v>22</v>
      </c>
      <c r="K5">
        <f t="shared" ref="K5:K16" si="7">ABS(B5)</f>
        <v>22</v>
      </c>
    </row>
    <row r="6" spans="2:11" x14ac:dyDescent="0.3">
      <c r="B6">
        <v>33</v>
      </c>
      <c r="C6">
        <f t="shared" si="0"/>
        <v>33</v>
      </c>
      <c r="D6">
        <f t="shared" si="1"/>
        <v>33</v>
      </c>
      <c r="E6">
        <f t="shared" si="2"/>
        <v>30</v>
      </c>
      <c r="F6">
        <v>33</v>
      </c>
      <c r="G6">
        <f t="shared" si="3"/>
        <v>33</v>
      </c>
      <c r="H6">
        <f t="shared" si="4"/>
        <v>33</v>
      </c>
      <c r="I6">
        <f t="shared" si="5"/>
        <v>33</v>
      </c>
      <c r="J6">
        <f t="shared" si="6"/>
        <v>33</v>
      </c>
      <c r="K6">
        <f t="shared" si="7"/>
        <v>33</v>
      </c>
    </row>
    <row r="7" spans="2:11" x14ac:dyDescent="0.3">
      <c r="B7">
        <v>44</v>
      </c>
      <c r="C7">
        <f t="shared" si="0"/>
        <v>44</v>
      </c>
      <c r="D7">
        <f t="shared" si="1"/>
        <v>44</v>
      </c>
      <c r="E7">
        <f t="shared" si="2"/>
        <v>40</v>
      </c>
      <c r="F7">
        <v>44</v>
      </c>
      <c r="G7">
        <f t="shared" si="3"/>
        <v>44</v>
      </c>
      <c r="H7">
        <f t="shared" si="4"/>
        <v>44</v>
      </c>
      <c r="I7">
        <f t="shared" si="5"/>
        <v>44</v>
      </c>
      <c r="J7">
        <f t="shared" si="6"/>
        <v>44</v>
      </c>
      <c r="K7">
        <f t="shared" si="7"/>
        <v>44</v>
      </c>
    </row>
    <row r="8" spans="2:11" x14ac:dyDescent="0.3">
      <c r="B8">
        <v>55</v>
      </c>
      <c r="C8">
        <f t="shared" si="0"/>
        <v>55</v>
      </c>
      <c r="D8">
        <f t="shared" si="1"/>
        <v>55</v>
      </c>
      <c r="E8">
        <f t="shared" si="2"/>
        <v>60</v>
      </c>
      <c r="F8">
        <v>55</v>
      </c>
      <c r="G8">
        <f t="shared" si="3"/>
        <v>55</v>
      </c>
      <c r="H8">
        <f t="shared" si="4"/>
        <v>55</v>
      </c>
      <c r="I8">
        <f t="shared" si="5"/>
        <v>55</v>
      </c>
      <c r="J8">
        <f t="shared" si="6"/>
        <v>55</v>
      </c>
      <c r="K8">
        <f t="shared" si="7"/>
        <v>55</v>
      </c>
    </row>
    <row r="9" spans="2:11" x14ac:dyDescent="0.3">
      <c r="B9">
        <v>12.345000000000001</v>
      </c>
      <c r="C9">
        <f t="shared" si="0"/>
        <v>12.3</v>
      </c>
      <c r="D9">
        <f t="shared" si="1"/>
        <v>12</v>
      </c>
      <c r="E9">
        <f t="shared" si="2"/>
        <v>10</v>
      </c>
      <c r="F9">
        <v>13</v>
      </c>
      <c r="G9">
        <f t="shared" si="3"/>
        <v>12</v>
      </c>
      <c r="H9">
        <f t="shared" si="4"/>
        <v>12.3</v>
      </c>
      <c r="I9">
        <f t="shared" si="5"/>
        <v>12.3</v>
      </c>
      <c r="J9">
        <f t="shared" si="6"/>
        <v>12</v>
      </c>
      <c r="K9">
        <f t="shared" si="7"/>
        <v>12.345000000000001</v>
      </c>
    </row>
    <row r="10" spans="2:11" x14ac:dyDescent="0.3">
      <c r="B10">
        <v>23.456</v>
      </c>
      <c r="C10">
        <f t="shared" si="0"/>
        <v>23.5</v>
      </c>
      <c r="D10">
        <f t="shared" si="1"/>
        <v>23</v>
      </c>
      <c r="E10">
        <f t="shared" si="2"/>
        <v>20</v>
      </c>
      <c r="F10">
        <v>24</v>
      </c>
      <c r="G10">
        <f t="shared" si="3"/>
        <v>23</v>
      </c>
      <c r="H10">
        <f t="shared" si="4"/>
        <v>23.4</v>
      </c>
      <c r="I10">
        <f t="shared" si="5"/>
        <v>23.4</v>
      </c>
      <c r="J10">
        <f t="shared" si="6"/>
        <v>23</v>
      </c>
      <c r="K10">
        <f t="shared" si="7"/>
        <v>23.456</v>
      </c>
    </row>
    <row r="11" spans="2:11" x14ac:dyDescent="0.3">
      <c r="B11">
        <v>34.567</v>
      </c>
      <c r="C11">
        <f t="shared" si="0"/>
        <v>34.6</v>
      </c>
      <c r="D11">
        <f t="shared" si="1"/>
        <v>35</v>
      </c>
      <c r="E11">
        <f t="shared" si="2"/>
        <v>30</v>
      </c>
      <c r="F11">
        <v>35</v>
      </c>
      <c r="G11">
        <f t="shared" si="3"/>
        <v>34</v>
      </c>
      <c r="H11">
        <f t="shared" si="4"/>
        <v>34.5</v>
      </c>
      <c r="I11">
        <f t="shared" si="5"/>
        <v>34.5</v>
      </c>
      <c r="J11">
        <f t="shared" si="6"/>
        <v>34</v>
      </c>
      <c r="K11">
        <f t="shared" si="7"/>
        <v>34.567</v>
      </c>
    </row>
    <row r="12" spans="2:11" x14ac:dyDescent="0.3">
      <c r="B12">
        <v>45.677999999999997</v>
      </c>
      <c r="C12">
        <f t="shared" si="0"/>
        <v>45.7</v>
      </c>
      <c r="D12">
        <f t="shared" si="1"/>
        <v>46</v>
      </c>
      <c r="E12">
        <f t="shared" si="2"/>
        <v>50</v>
      </c>
      <c r="F12">
        <v>46</v>
      </c>
      <c r="G12">
        <f t="shared" si="3"/>
        <v>45</v>
      </c>
      <c r="H12">
        <f t="shared" si="4"/>
        <v>45.6</v>
      </c>
      <c r="I12">
        <f t="shared" si="5"/>
        <v>45.6</v>
      </c>
      <c r="J12">
        <f t="shared" si="6"/>
        <v>45</v>
      </c>
      <c r="K12">
        <f t="shared" si="7"/>
        <v>45.677999999999997</v>
      </c>
    </row>
    <row r="13" spans="2:11" x14ac:dyDescent="0.3">
      <c r="B13">
        <v>-12.345000000000001</v>
      </c>
      <c r="C13">
        <f t="shared" si="0"/>
        <v>-12.3</v>
      </c>
      <c r="D13">
        <f t="shared" si="1"/>
        <v>-12</v>
      </c>
      <c r="E13">
        <f t="shared" si="2"/>
        <v>-10</v>
      </c>
      <c r="F13">
        <v>-13</v>
      </c>
      <c r="G13">
        <f t="shared" si="3"/>
        <v>-12</v>
      </c>
      <c r="H13">
        <f t="shared" si="4"/>
        <v>-12.3</v>
      </c>
      <c r="I13">
        <f t="shared" si="5"/>
        <v>-12.3</v>
      </c>
      <c r="J13">
        <f t="shared" si="6"/>
        <v>-13</v>
      </c>
      <c r="K13">
        <f t="shared" si="7"/>
        <v>12.345000000000001</v>
      </c>
    </row>
    <row r="14" spans="2:11" x14ac:dyDescent="0.3">
      <c r="B14">
        <v>-23.456</v>
      </c>
      <c r="C14">
        <f t="shared" si="0"/>
        <v>-23.5</v>
      </c>
      <c r="D14">
        <f t="shared" si="1"/>
        <v>-23</v>
      </c>
      <c r="E14">
        <f t="shared" si="2"/>
        <v>-20</v>
      </c>
      <c r="F14">
        <v>-24</v>
      </c>
      <c r="G14">
        <f t="shared" si="3"/>
        <v>-23</v>
      </c>
      <c r="H14">
        <f t="shared" si="4"/>
        <v>-23.4</v>
      </c>
      <c r="I14">
        <f t="shared" si="5"/>
        <v>-23.4</v>
      </c>
      <c r="J14">
        <f t="shared" si="6"/>
        <v>-24</v>
      </c>
      <c r="K14">
        <f t="shared" si="7"/>
        <v>23.456</v>
      </c>
    </row>
    <row r="15" spans="2:11" x14ac:dyDescent="0.3">
      <c r="B15">
        <v>-34.567</v>
      </c>
      <c r="C15">
        <f t="shared" si="0"/>
        <v>-34.6</v>
      </c>
      <c r="D15">
        <f t="shared" si="1"/>
        <v>-35</v>
      </c>
      <c r="E15">
        <f t="shared" si="2"/>
        <v>-30</v>
      </c>
      <c r="F15">
        <v>-35</v>
      </c>
      <c r="G15">
        <f t="shared" si="3"/>
        <v>-34</v>
      </c>
      <c r="H15">
        <f t="shared" si="4"/>
        <v>-34.5</v>
      </c>
      <c r="I15">
        <f t="shared" si="5"/>
        <v>-34.5</v>
      </c>
      <c r="J15">
        <f t="shared" si="6"/>
        <v>-35</v>
      </c>
      <c r="K15">
        <f t="shared" si="7"/>
        <v>34.567</v>
      </c>
    </row>
    <row r="16" spans="2:11" x14ac:dyDescent="0.3">
      <c r="B16">
        <v>-45.677999999999997</v>
      </c>
      <c r="C16">
        <f t="shared" si="0"/>
        <v>-45.7</v>
      </c>
      <c r="D16">
        <f t="shared" si="1"/>
        <v>-46</v>
      </c>
      <c r="E16">
        <f t="shared" si="2"/>
        <v>-50</v>
      </c>
      <c r="F16">
        <v>-46</v>
      </c>
      <c r="G16">
        <f t="shared" si="3"/>
        <v>-45</v>
      </c>
      <c r="H16">
        <f t="shared" si="4"/>
        <v>-45.6</v>
      </c>
      <c r="I16">
        <f t="shared" si="5"/>
        <v>-45.6</v>
      </c>
      <c r="J16">
        <f t="shared" si="6"/>
        <v>-46</v>
      </c>
      <c r="K16">
        <f t="shared" si="7"/>
        <v>45.677999999999997</v>
      </c>
    </row>
    <row r="18" spans="5:7" x14ac:dyDescent="0.3">
      <c r="E18">
        <f>POWER(2,4)</f>
        <v>16</v>
      </c>
      <c r="F18" t="s">
        <v>43</v>
      </c>
      <c r="G18" t="s">
        <v>44</v>
      </c>
    </row>
    <row r="19" spans="5:7" x14ac:dyDescent="0.3">
      <c r="E19">
        <f>MOD(15,7)</f>
        <v>1</v>
      </c>
      <c r="F19" t="s">
        <v>45</v>
      </c>
      <c r="G19" t="s">
        <v>46</v>
      </c>
    </row>
    <row r="20" spans="5:7" x14ac:dyDescent="0.3">
      <c r="E20">
        <f ca="1">RAND()</f>
        <v>5.4509404516299265E-2</v>
      </c>
      <c r="F20" t="s">
        <v>47</v>
      </c>
      <c r="G20" t="s">
        <v>48</v>
      </c>
    </row>
    <row r="21" spans="5:7" x14ac:dyDescent="0.3">
      <c r="E21">
        <f ca="1">RANDBETWEEN(1,5)</f>
        <v>3</v>
      </c>
      <c r="F21" t="s">
        <v>49</v>
      </c>
      <c r="G21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count함수</vt:lpstr>
      <vt:lpstr>수학함수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mbc</dc:creator>
  <cp:lastModifiedBy>mbc</cp:lastModifiedBy>
  <dcterms:created xsi:type="dcterms:W3CDTF">2026-07-10T11:10:08Z</dcterms:created>
  <dcterms:modified xsi:type="dcterms:W3CDTF">2026-07-13T12:52:01Z</dcterms:modified>
</cp:coreProperties>
</file>
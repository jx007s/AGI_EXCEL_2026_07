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A598C0F8-D92E-4C3C-8898-59F25E5DB1D5}" xr6:coauthVersionLast="47" xr6:coauthVersionMax="47" xr10:uidLastSave="{00000000-0000-0000-0000-000000000000}"/>
  <bookViews>
    <workbookView xWindow="22932" yWindow="-108" windowWidth="23256" windowHeight="12576" tabRatio="877" activeTab="3" xr2:uid="{9F8224EA-6291-48E1-9959-4FE36C2B9828}"/>
  </bookViews>
  <sheets>
    <sheet name="sumif" sheetId="11" r:id="rId1"/>
    <sheet name="DMAX" sheetId="10" r:id="rId2"/>
    <sheet name="AVERAGE" sheetId="3" r:id="rId3"/>
    <sheet name="RANK" sheetId="7" r:id="rId4"/>
    <sheet name="MODE" sheetId="8" r:id="rId5"/>
    <sheet name="HLOOKUP" sheetId="4" r:id="rId6"/>
    <sheet name="MATCH" sheetId="2" r:id="rId7"/>
    <sheet name="HOUR" sheetId="5" r:id="rId8"/>
    <sheet name="WEEKDAY" sheetId="6" r:id="rId9"/>
    <sheet name="LEFT,MID" sheetId="1" r:id="rId10"/>
    <sheet name="OR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" i="7" l="1"/>
  <c r="I3" i="7"/>
  <c r="F4" i="7"/>
  <c r="G4" i="7"/>
  <c r="F5" i="7"/>
  <c r="G5" i="7"/>
  <c r="F6" i="7"/>
  <c r="G6" i="7"/>
  <c r="F7" i="7"/>
  <c r="G7" i="7"/>
  <c r="G3" i="7"/>
  <c r="F3" i="7"/>
  <c r="E4" i="7"/>
  <c r="E5" i="7"/>
  <c r="E6" i="7"/>
  <c r="E7" i="7"/>
  <c r="E3" i="7"/>
  <c r="I9" i="10"/>
  <c r="I8" i="10"/>
  <c r="I7" i="10"/>
  <c r="I6" i="10"/>
  <c r="I5" i="10"/>
  <c r="I4" i="10"/>
  <c r="I3" i="10"/>
  <c r="I2" i="10"/>
  <c r="K11" i="11"/>
  <c r="C12" i="11"/>
  <c r="C11" i="11"/>
  <c r="C11" i="10"/>
  <c r="C9" i="9"/>
  <c r="C8" i="9"/>
  <c r="C7" i="9"/>
  <c r="C6" i="9"/>
  <c r="C5" i="9"/>
  <c r="C4" i="9"/>
  <c r="C3" i="9"/>
  <c r="C12" i="8"/>
  <c r="C4" i="7"/>
  <c r="C5" i="7"/>
  <c r="C6" i="7"/>
  <c r="C7" i="7"/>
  <c r="C3" i="7"/>
  <c r="C7" i="6" l="1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D3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<sst xmlns="http://schemas.openxmlformats.org/spreadsheetml/2006/main" count="219" uniqueCount="129">
  <si>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</si>
  <si>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</si>
  <si>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</si>
  <si>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</si>
  <si>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</si>
  <si>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</si>
  <si>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</si>
  <si>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</si>
  <si>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</si>
  <si>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</si>
  <si>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</si>
  <si>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</si>
  <si>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</si>
  <si>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</si>
  <si>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</si>
  <si>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</si>
  <si>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</si>
  <si>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</si>
  <si>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</si>
  <si>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</si>
  <si>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</si>
  <si>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</si>
  <si>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</si>
  <si>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</si>
  <si>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</si>
  <si>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</si>
  <si>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</si>
  <si>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</si>
  <si>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</si>
  <si>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</si>
  <si>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</si>
  <si>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</si>
  <si>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</si>
  <si>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</si>
  <si>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</si>
  <si>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</si>
  <si>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</si>
  <si>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</si>
  <si>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</si>
  <si>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</si>
  <si>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</si>
  <si>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</si>
  <si>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</si>
  <si>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</si>
  <si>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</si>
  <si>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</si>
  <si>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</si>
  <si>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</si>
  <si>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</si>
  <si>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</si>
  <si>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</si>
  <si>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</si>
  <si>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</si>
  <si>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</si>
  <si>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</si>
  <si>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</si>
  <si>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</si>
  <si>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</si>
  <si>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</si>
  <si>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</si>
  <si>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</si>
  <si>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</si>
  <si>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</si>
  <si>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</si>
  <si>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</si>
  <si>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</si>
  <si>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</si>
  <si>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</si>
  <si>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</si>
  <si>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</si>
  <si>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</si>
  <si>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</si>
  <si>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</si>
  <si>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</si>
  <si>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</si>
  <si>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</si>
  <si>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</si>
  <si>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</si>
  <si>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</si>
  <si>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</si>
  <si>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</si>
  <si>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</si>
  <si>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</si>
  <si>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</si>
  <si>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</si>
  <si>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</si>
  <si>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</si>
  <si>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</si>
  <si>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</si>
  <si>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</si>
  <si>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</si>
  <si>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</si>
  <si>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</si>
  <si>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</si>
  <si>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</si>
  <si>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</si>
  <si>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</si>
  <si>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</si>
  <si>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</si>
  <si>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</si>
  <si>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</si>
  <si>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</si>
  <si>
    <t>sumif</t>
    <phoneticPr fontId="3" type="noConversion"/>
  </si>
  <si>
    <t>averageif</t>
    <phoneticPr fontId="3" type="noConversion"/>
  </si>
  <si>
    <t>sumifs</t>
    <phoneticPr fontId="3" type="noConversion"/>
  </si>
  <si>
    <t>=SUMIFS(K3:K10,I3:I10,"컴퓨터학과",K3:K10,"&gt;=3.5")</t>
    <phoneticPr fontId="3" type="noConversion"/>
  </si>
  <si>
    <t>K3:K10  :  합계영역
I3:I10 : 조건1범위
"컴퓨터학과" : 조건1
K3:K10 : 조건2범위
"&gt;=3.5" : 조건2</t>
    <phoneticPr fontId="3" type="noConversion"/>
  </si>
  <si>
    <t>조건1과 조건2,...의and연산 합계</t>
    <phoneticPr fontId="3" type="noConversion"/>
  </si>
  <si>
    <t>dsum</t>
    <phoneticPr fontId="3" type="noConversion"/>
  </si>
  <si>
    <t>daverage</t>
    <phoneticPr fontId="3" type="noConversion"/>
  </si>
  <si>
    <t>dcount</t>
    <phoneticPr fontId="3" type="noConversion"/>
  </si>
  <si>
    <t>dcounta</t>
    <phoneticPr fontId="3" type="noConversion"/>
  </si>
  <si>
    <t>dmax</t>
    <phoneticPr fontId="3" type="noConversion"/>
  </si>
  <si>
    <t>dmin</t>
    <phoneticPr fontId="3" type="noConversion"/>
  </si>
  <si>
    <t>dstdev</t>
    <phoneticPr fontId="3" type="noConversion"/>
  </si>
  <si>
    <t>dvar</t>
    <phoneticPr fontId="3" type="noConversion"/>
  </si>
  <si>
    <t>인원수</t>
    <phoneticPr fontId="3" type="noConversion"/>
  </si>
  <si>
    <t>담당자</t>
    <phoneticPr fontId="3" type="noConversion"/>
  </si>
  <si>
    <t>정우성</t>
    <phoneticPr fontId="3" type="noConversion"/>
  </si>
  <si>
    <t>정좌성</t>
    <phoneticPr fontId="3" type="noConversion"/>
  </si>
  <si>
    <t>정남성</t>
    <phoneticPr fontId="3" type="noConversion"/>
  </si>
  <si>
    <t>숫자만 개수</t>
    <phoneticPr fontId="3" type="noConversion"/>
  </si>
  <si>
    <t>숫자,글자 개수</t>
    <phoneticPr fontId="3" type="noConversion"/>
  </si>
  <si>
    <t>표준편차</t>
    <phoneticPr fontId="3" type="noConversion"/>
  </si>
  <si>
    <t>분산</t>
    <phoneticPr fontId="3" type="noConversion"/>
  </si>
  <si>
    <t>=RANK.EQ(B3,$B$3:$B$7)</t>
    <phoneticPr fontId="3" type="noConversion"/>
  </si>
  <si>
    <t>=RANK.EQ(현재값,비교할범위,순위결정)</t>
    <phoneticPr fontId="3" type="noConversion"/>
  </si>
  <si>
    <t>내림차순</t>
    <phoneticPr fontId="3" type="noConversion"/>
  </si>
  <si>
    <t>오름차순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</si>
</sst>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_-;\-* #,##0.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2" fillId="2" borderId="3" xfId="0" applyFont="1" applyFill="1" applyBorder="1" applyAlignment="1">
      <alignment vertical="center" shrinkToFit="1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7286-868D-427C-B045-63CAB6601E47}">
  <dimension ref="A1:L12"/>
  <sheetViews>
    <sheetView topLeftCell="H8" zoomScale="190" zoomScaleNormal="190" workbookViewId="0">
      <selection activeCell="I13" sqref="I13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1" bestFit="1" customWidth="1"/>
    <col min="12" max="12" width="44.375" customWidth="1"/>
  </cols>
  <sheetData>
    <row r="1" spans="1:12" x14ac:dyDescent="0.3">
      <c r="A1" s="1" t="s">
        <v>19</v>
      </c>
      <c r="B1" s="3"/>
      <c r="C1" s="3"/>
      <c r="D1" s="3"/>
      <c r="E1" s="1"/>
    </row>
    <row r="2" spans="1:12" x14ac:dyDescent="0.3">
      <c r="A2" s="5" t="s">
        <v>4</v>
      </c>
      <c r="B2" s="5" t="s">
        <v>37</v>
      </c>
      <c r="C2" s="5" t="s">
        <v>95</v>
      </c>
      <c r="D2" s="1"/>
      <c r="H2" s="2"/>
      <c r="I2" s="5" t="s">
        <v>4</v>
      </c>
      <c r="J2" s="5" t="s">
        <v>37</v>
      </c>
      <c r="K2" s="5" t="s">
        <v>95</v>
      </c>
    </row>
    <row r="3" spans="1:12" x14ac:dyDescent="0.3">
      <c r="A3" s="5" t="s">
        <v>96</v>
      </c>
      <c r="B3" s="5" t="s">
        <v>6</v>
      </c>
      <c r="C3" s="5">
        <v>3.45</v>
      </c>
      <c r="D3" s="1"/>
      <c r="I3" s="5" t="s">
        <v>96</v>
      </c>
      <c r="J3" s="5" t="s">
        <v>6</v>
      </c>
      <c r="K3" s="5">
        <v>3.45</v>
      </c>
    </row>
    <row r="4" spans="1:12" x14ac:dyDescent="0.3">
      <c r="A4" s="5" t="s">
        <v>97</v>
      </c>
      <c r="B4" s="5" t="s">
        <v>9</v>
      </c>
      <c r="C4" s="5">
        <v>4.0199999999999996</v>
      </c>
      <c r="D4" s="1"/>
      <c r="I4" s="5" t="s">
        <v>97</v>
      </c>
      <c r="J4" s="5" t="s">
        <v>9</v>
      </c>
      <c r="K4" s="5">
        <v>4.0199999999999996</v>
      </c>
    </row>
    <row r="5" spans="1:12" x14ac:dyDescent="0.3">
      <c r="A5" s="5" t="s">
        <v>97</v>
      </c>
      <c r="B5" s="5" t="s">
        <v>12</v>
      </c>
      <c r="C5" s="5">
        <v>3.67</v>
      </c>
      <c r="D5" s="1"/>
      <c r="I5" s="5" t="s">
        <v>97</v>
      </c>
      <c r="J5" s="5" t="s">
        <v>12</v>
      </c>
      <c r="K5" s="5">
        <v>3.67</v>
      </c>
    </row>
    <row r="6" spans="1:12" x14ac:dyDescent="0.3">
      <c r="A6" s="5" t="s">
        <v>96</v>
      </c>
      <c r="B6" s="5" t="s">
        <v>15</v>
      </c>
      <c r="C6" s="5">
        <v>3.89</v>
      </c>
      <c r="D6" s="1"/>
      <c r="I6" s="5" t="s">
        <v>96</v>
      </c>
      <c r="J6" s="5" t="s">
        <v>15</v>
      </c>
      <c r="K6" s="5">
        <v>3.89</v>
      </c>
    </row>
    <row r="7" spans="1:12" x14ac:dyDescent="0.3">
      <c r="A7" s="5" t="s">
        <v>98</v>
      </c>
      <c r="B7" s="5" t="s">
        <v>16</v>
      </c>
      <c r="C7" s="5">
        <v>3.12</v>
      </c>
      <c r="D7" s="1"/>
      <c r="I7" s="5" t="s">
        <v>98</v>
      </c>
      <c r="J7" s="5" t="s">
        <v>16</v>
      </c>
      <c r="K7" s="5">
        <v>3.12</v>
      </c>
    </row>
    <row r="8" spans="1:12" x14ac:dyDescent="0.3">
      <c r="A8" s="5" t="s">
        <v>98</v>
      </c>
      <c r="B8" s="5" t="s">
        <v>17</v>
      </c>
      <c r="C8" s="5">
        <v>3.91</v>
      </c>
      <c r="I8" s="5" t="s">
        <v>98</v>
      </c>
      <c r="J8" s="5" t="s">
        <v>17</v>
      </c>
      <c r="K8" s="5">
        <v>3.91</v>
      </c>
    </row>
    <row r="9" spans="1:12" x14ac:dyDescent="0.3">
      <c r="A9" s="5" t="s">
        <v>96</v>
      </c>
      <c r="B9" s="5" t="s">
        <v>18</v>
      </c>
      <c r="C9" s="5">
        <v>4.1500000000000004</v>
      </c>
      <c r="I9" s="5" t="s">
        <v>96</v>
      </c>
      <c r="J9" s="5" t="s">
        <v>18</v>
      </c>
      <c r="K9" s="5">
        <v>4.1500000000000004</v>
      </c>
    </row>
    <row r="10" spans="1:12" x14ac:dyDescent="0.3">
      <c r="A10" s="5" t="s">
        <v>97</v>
      </c>
      <c r="B10" s="5" t="s">
        <v>100</v>
      </c>
      <c r="C10" s="5">
        <v>3.52</v>
      </c>
      <c r="I10" s="5" t="s">
        <v>97</v>
      </c>
      <c r="J10" s="5" t="s">
        <v>100</v>
      </c>
      <c r="K10" s="5">
        <v>3.52</v>
      </c>
    </row>
    <row r="11" spans="1:12" x14ac:dyDescent="0.3">
      <c r="A11" s="33" t="s">
        <v>102</v>
      </c>
      <c r="B11" s="33"/>
      <c r="C11" s="32">
        <f>SUMIF(A3:A10,"컴퓨터학과",C3:C10)</f>
        <v>11.49</v>
      </c>
      <c r="E11" s="1"/>
      <c r="I11" s="36" t="s">
        <v>104</v>
      </c>
      <c r="J11" s="37"/>
      <c r="K11" s="39">
        <f>SUMIFS(K3:K10,I3:I10,"컴퓨터학과",K3:K10,"&gt;=3.5")</f>
        <v>8.0400000000000009</v>
      </c>
      <c r="L11" s="40" t="s">
        <v>105</v>
      </c>
    </row>
    <row r="12" spans="1:12" ht="82.5" x14ac:dyDescent="0.3">
      <c r="A12" s="38" t="s">
        <v>103</v>
      </c>
      <c r="B12" s="38"/>
      <c r="C12">
        <f>AVERAGEIF(A3:A10,"컴퓨터학과",C3:C10)</f>
        <v>3.83</v>
      </c>
      <c r="I12" s="42" t="s">
        <v>107</v>
      </c>
      <c r="L12" s="41" t="s">
        <v>106</v>
      </c>
    </row>
  </sheetData>
  <mergeCells count="3">
    <mergeCell ref="A11:B11"/>
    <mergeCell ref="I11:J11"/>
    <mergeCell ref="A12:B1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J15"/>
  <sheetViews>
    <sheetView zoomScale="160" zoomScaleNormal="160" workbookViewId="0">
      <selection activeCell="G11" sqref="G11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2.75" bestFit="1" customWidth="1"/>
  </cols>
  <sheetData>
    <row r="1" spans="1:10" x14ac:dyDescent="0.3">
      <c r="A1" s="1" t="s">
        <v>19</v>
      </c>
      <c r="B1" s="3"/>
      <c r="C1" s="3"/>
      <c r="D1" s="3"/>
      <c r="H1" s="1"/>
    </row>
    <row r="2" spans="1:10" x14ac:dyDescent="0.3">
      <c r="A2" s="5" t="s">
        <v>4</v>
      </c>
      <c r="B2" s="5" t="s">
        <v>37</v>
      </c>
      <c r="C2" s="5" t="s">
        <v>95</v>
      </c>
      <c r="D2" s="44" t="s">
        <v>116</v>
      </c>
      <c r="E2" s="44" t="s">
        <v>117</v>
      </c>
      <c r="H2" s="43" t="s">
        <v>108</v>
      </c>
      <c r="I2">
        <f>DSUM(A2:C10,3,A14:A15)</f>
        <v>10.7</v>
      </c>
    </row>
    <row r="3" spans="1:10" x14ac:dyDescent="0.3">
      <c r="A3" s="5" t="s">
        <v>96</v>
      </c>
      <c r="B3" s="5" t="s">
        <v>6</v>
      </c>
      <c r="C3" s="5">
        <v>3.45</v>
      </c>
      <c r="D3" s="1">
        <v>5</v>
      </c>
      <c r="H3" t="s">
        <v>109</v>
      </c>
      <c r="I3">
        <f>DAVERAGE(A2:C10,C2,A14:A15)</f>
        <v>3.5666666666666664</v>
      </c>
    </row>
    <row r="4" spans="1:10" x14ac:dyDescent="0.3">
      <c r="A4" s="5" t="s">
        <v>97</v>
      </c>
      <c r="B4" s="5" t="s">
        <v>9</v>
      </c>
      <c r="C4" s="5">
        <v>4.0199999999999996</v>
      </c>
      <c r="D4" s="1">
        <v>3</v>
      </c>
      <c r="E4" t="s">
        <v>118</v>
      </c>
      <c r="H4" t="s">
        <v>110</v>
      </c>
      <c r="I4">
        <f>DCOUNT(A2:E10,4,A14:A15)</f>
        <v>1</v>
      </c>
      <c r="J4" t="s">
        <v>121</v>
      </c>
    </row>
    <row r="5" spans="1:10" x14ac:dyDescent="0.3">
      <c r="A5" s="5" t="s">
        <v>98</v>
      </c>
      <c r="B5" s="5" t="s">
        <v>12</v>
      </c>
      <c r="C5" s="5">
        <v>3.67</v>
      </c>
      <c r="D5" s="1"/>
      <c r="H5" t="s">
        <v>111</v>
      </c>
      <c r="I5">
        <f>DCOUNTA(A2:E10,4,A14:A15)</f>
        <v>2</v>
      </c>
      <c r="J5" t="s">
        <v>122</v>
      </c>
    </row>
    <row r="6" spans="1:10" x14ac:dyDescent="0.3">
      <c r="A6" s="5" t="s">
        <v>96</v>
      </c>
      <c r="B6" s="5" t="s">
        <v>15</v>
      </c>
      <c r="C6" s="5">
        <v>3.89</v>
      </c>
      <c r="D6" s="1">
        <v>7</v>
      </c>
      <c r="H6" t="s">
        <v>112</v>
      </c>
      <c r="I6">
        <f>DMAX(A2:E10,3,A14:A15)</f>
        <v>3.91</v>
      </c>
    </row>
    <row r="7" spans="1:10" x14ac:dyDescent="0.3">
      <c r="A7" s="5" t="s">
        <v>98</v>
      </c>
      <c r="B7" s="5" t="s">
        <v>16</v>
      </c>
      <c r="C7" s="5">
        <v>3.12</v>
      </c>
      <c r="D7" s="45">
        <v>2</v>
      </c>
      <c r="E7" t="s">
        <v>119</v>
      </c>
      <c r="H7" t="s">
        <v>113</v>
      </c>
      <c r="I7">
        <f>DMIN(A2:E10,3,A14:A15)</f>
        <v>3.12</v>
      </c>
    </row>
    <row r="8" spans="1:10" x14ac:dyDescent="0.3">
      <c r="A8" s="5" t="s">
        <v>98</v>
      </c>
      <c r="B8" s="5" t="s">
        <v>17</v>
      </c>
      <c r="C8" s="5">
        <v>3.91</v>
      </c>
      <c r="D8" t="s">
        <v>120</v>
      </c>
      <c r="E8">
        <v>3</v>
      </c>
      <c r="H8" t="s">
        <v>114</v>
      </c>
      <c r="I8">
        <f>DSTDEV(A2:E10,3,A14:A15)</f>
        <v>0.40501028793517496</v>
      </c>
      <c r="J8" t="s">
        <v>123</v>
      </c>
    </row>
    <row r="9" spans="1:10" x14ac:dyDescent="0.3">
      <c r="A9" s="5" t="s">
        <v>96</v>
      </c>
      <c r="B9" s="5" t="s">
        <v>18</v>
      </c>
      <c r="C9" s="5">
        <v>4.1500000000000004</v>
      </c>
      <c r="D9">
        <v>9</v>
      </c>
      <c r="E9">
        <v>1234</v>
      </c>
      <c r="H9" t="s">
        <v>115</v>
      </c>
      <c r="I9">
        <f>DVAR(A2:E10,3,A14:A15)</f>
        <v>0.16403333333333334</v>
      </c>
      <c r="J9" t="s">
        <v>124</v>
      </c>
    </row>
    <row r="10" spans="1:10" x14ac:dyDescent="0.3">
      <c r="A10" s="5" t="s">
        <v>97</v>
      </c>
      <c r="B10" s="5" t="s">
        <v>100</v>
      </c>
      <c r="C10" s="5">
        <v>3.52</v>
      </c>
    </row>
    <row r="11" spans="1:10" x14ac:dyDescent="0.3">
      <c r="A11" s="33" t="s">
        <v>101</v>
      </c>
      <c r="B11" s="33"/>
      <c r="C11" s="32">
        <f>ROUNDUP(AVERAGE(DMAX(A2:C10,C2,A14:A15),DMAX(A2:C10,C2,A2:A3)),1)</f>
        <v>4.0999999999999996</v>
      </c>
      <c r="H11" s="1"/>
    </row>
    <row r="13" spans="1:10" x14ac:dyDescent="0.3">
      <c r="A13" s="17" t="s">
        <v>99</v>
      </c>
    </row>
    <row r="14" spans="1:10" x14ac:dyDescent="0.3">
      <c r="A14" s="5" t="s">
        <v>4</v>
      </c>
    </row>
    <row r="15" spans="1:10" x14ac:dyDescent="0.3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 x14ac:dyDescent="0.3"/>
  <cols>
    <col min="1" max="1" width="7.125" bestFit="1" customWidth="1"/>
  </cols>
  <sheetData>
    <row r="1" spans="1:5" x14ac:dyDescent="0.3">
      <c r="A1" s="1" t="s">
        <v>19</v>
      </c>
      <c r="B1" s="3"/>
      <c r="C1" s="3"/>
      <c r="D1" s="3"/>
      <c r="E1" s="4"/>
    </row>
    <row r="2" spans="1:5" x14ac:dyDescent="0.3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 x14ac:dyDescent="0.3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 x14ac:dyDescent="0.3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 x14ac:dyDescent="0.3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 x14ac:dyDescent="0.3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 x14ac:dyDescent="0.3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 x14ac:dyDescent="0.3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 x14ac:dyDescent="0.3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 x14ac:dyDescent="0.3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 x14ac:dyDescent="0.3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J10"/>
  <sheetViews>
    <sheetView tabSelected="1" zoomScale="190" zoomScaleNormal="190" workbookViewId="0">
      <selection activeCell="J3" sqref="J3"/>
    </sheetView>
  </sheetViews>
  <sheetFormatPr defaultRowHeight="16.5" x14ac:dyDescent="0.3"/>
  <cols>
    <col min="10" max="10" width="10.5" bestFit="1" customWidth="1"/>
  </cols>
  <sheetData>
    <row r="1" spans="1:10" x14ac:dyDescent="0.3">
      <c r="A1" t="s">
        <v>19</v>
      </c>
    </row>
    <row r="2" spans="1:10" x14ac:dyDescent="0.3">
      <c r="A2" s="10" t="s">
        <v>82</v>
      </c>
      <c r="B2" s="10" t="s">
        <v>81</v>
      </c>
      <c r="C2" s="6" t="s">
        <v>41</v>
      </c>
      <c r="E2" t="s">
        <v>56</v>
      </c>
      <c r="F2" t="s">
        <v>127</v>
      </c>
      <c r="G2" t="s">
        <v>128</v>
      </c>
      <c r="I2" t="s">
        <v>124</v>
      </c>
      <c r="J2" t="s">
        <v>123</v>
      </c>
    </row>
    <row r="3" spans="1:10" x14ac:dyDescent="0.3">
      <c r="A3" s="10" t="s">
        <v>76</v>
      </c>
      <c r="B3" s="29">
        <v>585</v>
      </c>
      <c r="C3" s="7" t="str">
        <f>CHOOSE(_xlfn.RANK.EQ(B3,$B$3:$B$7,0),"100%","90%","80%","","")</f>
        <v/>
      </c>
      <c r="E3">
        <f>_xlfn.RANK.EQ(B3,$B$3:$B$7)</f>
        <v>4</v>
      </c>
      <c r="F3">
        <f>_xlfn.RANK.EQ(B3,$B$3:$B$7,0)</f>
        <v>4</v>
      </c>
      <c r="G3">
        <f>_xlfn.RANK.EQ(B3,$B$3:$B$7,1)</f>
        <v>2</v>
      </c>
      <c r="I3">
        <f>_xlfn.VAR.S(B3:B7)</f>
        <v>13952.699999999953</v>
      </c>
      <c r="J3">
        <f>_xlfn.STDEV.S(B3:B7)</f>
        <v>118.12154756859543</v>
      </c>
    </row>
    <row r="4" spans="1:10" x14ac:dyDescent="0.3">
      <c r="A4" s="10" t="s">
        <v>77</v>
      </c>
      <c r="B4" s="29">
        <v>594</v>
      </c>
      <c r="C4" s="7" t="str">
        <f t="shared" ref="C4:C7" si="0">CHOOSE(_xlfn.RANK.EQ(B4,$B$3:$B$7,0),"100%","90%","80%","","")</f>
        <v>80%</v>
      </c>
      <c r="E4">
        <f t="shared" ref="E4:E7" si="1">_xlfn.RANK.EQ(B4,$B$3:$B$7)</f>
        <v>3</v>
      </c>
      <c r="F4">
        <f t="shared" ref="F4:F7" si="2">_xlfn.RANK.EQ(B4,$B$3:$B$7,0)</f>
        <v>3</v>
      </c>
      <c r="G4">
        <f t="shared" ref="G4:G7" si="3">_xlfn.RANK.EQ(B4,$B$3:$B$7,1)</f>
        <v>3</v>
      </c>
    </row>
    <row r="5" spans="1:10" x14ac:dyDescent="0.3">
      <c r="A5" s="10" t="s">
        <v>78</v>
      </c>
      <c r="B5" s="29">
        <v>696</v>
      </c>
      <c r="C5" s="7" t="str">
        <f t="shared" si="0"/>
        <v>90%</v>
      </c>
      <c r="E5">
        <f t="shared" si="1"/>
        <v>2</v>
      </c>
      <c r="F5">
        <f t="shared" si="2"/>
        <v>2</v>
      </c>
      <c r="G5">
        <f t="shared" si="3"/>
        <v>4</v>
      </c>
    </row>
    <row r="6" spans="1:10" x14ac:dyDescent="0.3">
      <c r="A6" s="10" t="s">
        <v>79</v>
      </c>
      <c r="B6" s="29">
        <v>857</v>
      </c>
      <c r="C6" s="7" t="str">
        <f t="shared" si="0"/>
        <v>100%</v>
      </c>
      <c r="E6">
        <f t="shared" si="1"/>
        <v>1</v>
      </c>
      <c r="F6">
        <f t="shared" si="2"/>
        <v>1</v>
      </c>
      <c r="G6">
        <f t="shared" si="3"/>
        <v>5</v>
      </c>
    </row>
    <row r="7" spans="1:10" x14ac:dyDescent="0.3">
      <c r="A7" s="10" t="s">
        <v>80</v>
      </c>
      <c r="B7" s="29">
        <v>584</v>
      </c>
      <c r="C7" s="7" t="str">
        <f t="shared" si="0"/>
        <v/>
      </c>
      <c r="E7">
        <f t="shared" si="1"/>
        <v>5</v>
      </c>
      <c r="F7">
        <f t="shared" si="2"/>
        <v>5</v>
      </c>
      <c r="G7">
        <f t="shared" si="3"/>
        <v>1</v>
      </c>
    </row>
    <row r="9" spans="1:10" x14ac:dyDescent="0.3">
      <c r="E9" s="40" t="s">
        <v>125</v>
      </c>
    </row>
    <row r="10" spans="1:10" x14ac:dyDescent="0.3">
      <c r="E10" s="40" t="s">
        <v>126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 x14ac:dyDescent="0.3"/>
  <cols>
    <col min="1" max="1" width="9.75" customWidth="1"/>
  </cols>
  <sheetData>
    <row r="1" spans="1:3" x14ac:dyDescent="0.3">
      <c r="A1" s="1" t="s">
        <v>19</v>
      </c>
      <c r="B1" s="2"/>
      <c r="C1" s="1"/>
    </row>
    <row r="2" spans="1:3" x14ac:dyDescent="0.3">
      <c r="A2" s="10" t="s">
        <v>21</v>
      </c>
      <c r="B2" s="10" t="s">
        <v>23</v>
      </c>
    </row>
    <row r="3" spans="1:3" x14ac:dyDescent="0.3">
      <c r="A3" s="10" t="s">
        <v>25</v>
      </c>
      <c r="B3" s="11">
        <v>4</v>
      </c>
    </row>
    <row r="4" spans="1:3" x14ac:dyDescent="0.3">
      <c r="A4" s="10" t="s">
        <v>27</v>
      </c>
      <c r="B4" s="11">
        <v>9</v>
      </c>
    </row>
    <row r="5" spans="1:3" x14ac:dyDescent="0.3">
      <c r="A5" s="10" t="s">
        <v>29</v>
      </c>
      <c r="B5" s="11">
        <v>5</v>
      </c>
    </row>
    <row r="6" spans="1:3" x14ac:dyDescent="0.3">
      <c r="A6" s="10" t="s">
        <v>30</v>
      </c>
      <c r="B6" s="11">
        <v>1</v>
      </c>
    </row>
    <row r="7" spans="1:3" x14ac:dyDescent="0.3">
      <c r="A7" s="10" t="s">
        <v>31</v>
      </c>
      <c r="B7" s="11">
        <v>4</v>
      </c>
    </row>
    <row r="8" spans="1:3" x14ac:dyDescent="0.3">
      <c r="A8" s="10" t="s">
        <v>83</v>
      </c>
      <c r="B8" s="11">
        <v>5</v>
      </c>
    </row>
    <row r="9" spans="1:3" x14ac:dyDescent="0.3">
      <c r="A9" s="10" t="s">
        <v>33</v>
      </c>
      <c r="B9" s="11">
        <v>9</v>
      </c>
    </row>
    <row r="10" spans="1:3" x14ac:dyDescent="0.3">
      <c r="A10" s="10" t="s">
        <v>34</v>
      </c>
      <c r="B10" s="11">
        <v>4</v>
      </c>
    </row>
    <row r="11" spans="1:3" x14ac:dyDescent="0.3">
      <c r="A11" s="10" t="s">
        <v>35</v>
      </c>
      <c r="B11" s="11">
        <v>7</v>
      </c>
    </row>
    <row r="12" spans="1:3" x14ac:dyDescent="0.3">
      <c r="A12" s="34" t="s">
        <v>84</v>
      </c>
      <c r="B12" s="35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E13"/>
  <sheetViews>
    <sheetView workbookViewId="0"/>
  </sheetViews>
  <sheetFormatPr defaultRowHeight="16.5" x14ac:dyDescent="0.3"/>
  <cols>
    <col min="3" max="4" width="10.875" bestFit="1" customWidth="1"/>
  </cols>
  <sheetData>
    <row r="1" spans="1:5" x14ac:dyDescent="0.3">
      <c r="A1" s="1" t="s">
        <v>19</v>
      </c>
      <c r="B1" s="3"/>
      <c r="C1" s="3"/>
      <c r="D1" s="4"/>
      <c r="E1" s="3"/>
    </row>
    <row r="2" spans="1:5" x14ac:dyDescent="0.3">
      <c r="A2" s="5" t="s">
        <v>37</v>
      </c>
      <c r="B2" s="5" t="s">
        <v>51</v>
      </c>
      <c r="C2" s="5" t="s">
        <v>52</v>
      </c>
      <c r="D2" s="6" t="s">
        <v>53</v>
      </c>
      <c r="E2" s="1"/>
    </row>
    <row r="3" spans="1:5" x14ac:dyDescent="0.3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/>
    </row>
    <row r="4" spans="1:5" x14ac:dyDescent="0.3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/>
    </row>
    <row r="5" spans="1:5" x14ac:dyDescent="0.3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/>
    </row>
    <row r="6" spans="1:5" x14ac:dyDescent="0.3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/>
    </row>
    <row r="7" spans="1:5" x14ac:dyDescent="0.3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/>
    </row>
    <row r="8" spans="1:5" x14ac:dyDescent="0.3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/>
    </row>
    <row r="9" spans="1:5" x14ac:dyDescent="0.3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/>
    </row>
    <row r="10" spans="1:5" x14ac:dyDescent="0.3">
      <c r="A10" s="17"/>
      <c r="B10" s="17"/>
      <c r="C10" s="18"/>
      <c r="D10" s="17"/>
      <c r="E10" s="1"/>
    </row>
    <row r="11" spans="1:5" x14ac:dyDescent="0.3">
      <c r="A11" s="19" t="s">
        <v>55</v>
      </c>
      <c r="B11" s="19"/>
      <c r="C11" s="19"/>
      <c r="D11" s="19"/>
      <c r="E11" s="19"/>
    </row>
    <row r="12" spans="1:5" x14ac:dyDescent="0.3">
      <c r="A12" s="20" t="s">
        <v>56</v>
      </c>
      <c r="B12" s="21">
        <v>1</v>
      </c>
      <c r="C12" s="5">
        <v>2</v>
      </c>
      <c r="D12" s="5">
        <v>4</v>
      </c>
      <c r="E12" s="5">
        <v>6</v>
      </c>
    </row>
    <row r="13" spans="1:5" x14ac:dyDescent="0.3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 x14ac:dyDescent="0.3"/>
  <cols>
    <col min="1" max="1" width="15.125" customWidth="1"/>
    <col min="2" max="2" width="17.625" customWidth="1"/>
    <col min="3" max="4" width="10.875" bestFit="1" customWidth="1"/>
  </cols>
  <sheetData>
    <row r="1" spans="1:4" x14ac:dyDescent="0.3">
      <c r="A1" s="1" t="s">
        <v>19</v>
      </c>
      <c r="B1" s="2" t="s">
        <v>20</v>
      </c>
      <c r="C1" s="1"/>
      <c r="D1" s="1"/>
    </row>
    <row r="2" spans="1:4" x14ac:dyDescent="0.3">
      <c r="A2" s="10" t="s">
        <v>21</v>
      </c>
      <c r="B2" s="10" t="s">
        <v>22</v>
      </c>
      <c r="C2" s="10" t="s">
        <v>24</v>
      </c>
    </row>
    <row r="3" spans="1:4" x14ac:dyDescent="0.3">
      <c r="A3" s="10" t="s">
        <v>25</v>
      </c>
      <c r="B3" s="10" t="s">
        <v>26</v>
      </c>
      <c r="C3" s="11">
        <v>1208000</v>
      </c>
    </row>
    <row r="4" spans="1:4" x14ac:dyDescent="0.3">
      <c r="A4" s="10" t="s">
        <v>27</v>
      </c>
      <c r="B4" s="10" t="s">
        <v>28</v>
      </c>
      <c r="C4" s="11">
        <v>2214000</v>
      </c>
    </row>
    <row r="5" spans="1:4" x14ac:dyDescent="0.3">
      <c r="A5" s="10" t="s">
        <v>29</v>
      </c>
      <c r="B5" s="10" t="s">
        <v>26</v>
      </c>
      <c r="C5" s="11">
        <v>1425000</v>
      </c>
    </row>
    <row r="6" spans="1:4" x14ac:dyDescent="0.3">
      <c r="A6" s="10" t="s">
        <v>30</v>
      </c>
      <c r="B6" s="10" t="s">
        <v>26</v>
      </c>
      <c r="C6" s="11">
        <v>265000</v>
      </c>
    </row>
    <row r="7" spans="1:4" x14ac:dyDescent="0.3">
      <c r="A7" s="10" t="s">
        <v>31</v>
      </c>
      <c r="B7" s="10" t="s">
        <v>32</v>
      </c>
      <c r="C7" s="11">
        <v>1168000</v>
      </c>
    </row>
    <row r="8" spans="1:4" x14ac:dyDescent="0.3">
      <c r="A8" s="10" t="s">
        <v>33</v>
      </c>
      <c r="B8" s="10" t="s">
        <v>28</v>
      </c>
      <c r="C8" s="11">
        <v>2493000</v>
      </c>
    </row>
    <row r="9" spans="1:4" x14ac:dyDescent="0.3">
      <c r="A9" s="10" t="s">
        <v>34</v>
      </c>
      <c r="B9" s="10" t="s">
        <v>28</v>
      </c>
      <c r="C9" s="11">
        <v>1020000</v>
      </c>
    </row>
    <row r="10" spans="1:4" x14ac:dyDescent="0.3">
      <c r="A10" s="10" t="s">
        <v>35</v>
      </c>
      <c r="B10" s="10" t="s">
        <v>32</v>
      </c>
      <c r="C10" s="11">
        <v>1967000</v>
      </c>
    </row>
    <row r="11" spans="1:4" x14ac:dyDescent="0.3">
      <c r="A11" s="34" t="s">
        <v>36</v>
      </c>
      <c r="B11" s="35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D8"/>
  <sheetViews>
    <sheetView topLeftCell="A16" workbookViewId="0"/>
  </sheetViews>
  <sheetFormatPr defaultRowHeight="16.5" x14ac:dyDescent="0.3"/>
  <sheetData>
    <row r="1" spans="1:4" x14ac:dyDescent="0.3">
      <c r="A1" s="1" t="s">
        <v>19</v>
      </c>
      <c r="B1" s="1"/>
      <c r="C1" s="1"/>
      <c r="D1" s="1"/>
    </row>
    <row r="2" spans="1:4" x14ac:dyDescent="0.3">
      <c r="A2" s="24" t="s">
        <v>58</v>
      </c>
      <c r="B2" s="7" t="s">
        <v>59</v>
      </c>
      <c r="C2" s="7" t="s">
        <v>60</v>
      </c>
      <c r="D2" s="6" t="s">
        <v>61</v>
      </c>
    </row>
    <row r="3" spans="1:4" x14ac:dyDescent="0.3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</row>
    <row r="4" spans="1:4" x14ac:dyDescent="0.3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4" x14ac:dyDescent="0.3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</row>
    <row r="6" spans="1:4" x14ac:dyDescent="0.3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</row>
    <row r="7" spans="1:4" x14ac:dyDescent="0.3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4" x14ac:dyDescent="0.3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 x14ac:dyDescent="0.3"/>
  <cols>
    <col min="2" max="3" width="11.125" bestFit="1" customWidth="1"/>
  </cols>
  <sheetData>
    <row r="1" spans="1:3" x14ac:dyDescent="0.3">
      <c r="A1" s="26" t="s">
        <v>19</v>
      </c>
    </row>
    <row r="2" spans="1:3" x14ac:dyDescent="0.3">
      <c r="A2" s="7" t="s">
        <v>68</v>
      </c>
      <c r="B2" s="7" t="s">
        <v>69</v>
      </c>
      <c r="C2" s="27" t="s">
        <v>70</v>
      </c>
    </row>
    <row r="3" spans="1:3" x14ac:dyDescent="0.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 x14ac:dyDescent="0.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 x14ac:dyDescent="0.3">
      <c r="A5" s="7" t="s">
        <v>73</v>
      </c>
      <c r="B5" s="28">
        <v>45757</v>
      </c>
      <c r="C5" s="28">
        <f t="shared" si="0"/>
        <v>45768</v>
      </c>
    </row>
    <row r="6" spans="1:3" x14ac:dyDescent="0.3">
      <c r="A6" s="7" t="s">
        <v>74</v>
      </c>
      <c r="B6" s="28">
        <v>45772</v>
      </c>
      <c r="C6" s="28">
        <f t="shared" si="0"/>
        <v>45782</v>
      </c>
    </row>
    <row r="7" spans="1:3" x14ac:dyDescent="0.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F9"/>
  <sheetViews>
    <sheetView workbookViewId="0"/>
  </sheetViews>
  <sheetFormatPr defaultRowHeight="16.5" x14ac:dyDescent="0.3"/>
  <cols>
    <col min="3" max="3" width="21.75" bestFit="1" customWidth="1"/>
    <col min="4" max="4" width="1.625" customWidth="1"/>
    <col min="6" max="6" width="13" bestFit="1" customWidth="1"/>
  </cols>
  <sheetData>
    <row r="1" spans="1:6" x14ac:dyDescent="0.3">
      <c r="A1" s="1" t="s">
        <v>19</v>
      </c>
      <c r="B1" s="2" t="s">
        <v>0</v>
      </c>
      <c r="C1" s="3"/>
      <c r="D1" s="4"/>
      <c r="E1" t="s">
        <v>1</v>
      </c>
    </row>
    <row r="2" spans="1:6" x14ac:dyDescent="0.3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</row>
    <row r="3" spans="1:6" x14ac:dyDescent="0.3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</row>
    <row r="4" spans="1:6" x14ac:dyDescent="0.3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</row>
    <row r="5" spans="1:6" x14ac:dyDescent="0.3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</row>
    <row r="6" spans="1:6" x14ac:dyDescent="0.3">
      <c r="A6" s="5">
        <v>2511016</v>
      </c>
      <c r="B6" s="5" t="s">
        <v>15</v>
      </c>
      <c r="C6" s="8" t="str">
        <f t="shared" si="0"/>
        <v>25학번 AI융합</v>
      </c>
    </row>
    <row r="7" spans="1:6" x14ac:dyDescent="0.3">
      <c r="A7" s="5">
        <v>2422019</v>
      </c>
      <c r="B7" s="5" t="s">
        <v>16</v>
      </c>
      <c r="C7" s="8" t="str">
        <f t="shared" si="0"/>
        <v>24학번 소프트웨어</v>
      </c>
    </row>
    <row r="8" spans="1:6" x14ac:dyDescent="0.3">
      <c r="A8" s="5">
        <v>2533018</v>
      </c>
      <c r="B8" s="5" t="s">
        <v>17</v>
      </c>
      <c r="C8" s="8" t="str">
        <f t="shared" si="0"/>
        <v>25학번 글로벌미디어</v>
      </c>
    </row>
    <row r="9" spans="1:6" x14ac:dyDescent="0.3">
      <c r="A9" s="5">
        <v>2422017</v>
      </c>
      <c r="B9" s="5" t="s">
        <v>18</v>
      </c>
      <c r="C9" s="8" t="str">
        <f t="shared" si="0"/>
        <v>24학번 소프트웨어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 x14ac:dyDescent="0.3"/>
  <cols>
    <col min="2" max="2" width="11.125" bestFit="1" customWidth="1"/>
  </cols>
  <sheetData>
    <row r="1" spans="1:3" x14ac:dyDescent="0.3">
      <c r="A1" s="30" t="s">
        <v>19</v>
      </c>
    </row>
    <row r="2" spans="1:3" x14ac:dyDescent="0.3">
      <c r="A2" s="7" t="s">
        <v>85</v>
      </c>
      <c r="B2" s="7" t="s">
        <v>86</v>
      </c>
      <c r="C2" s="31" t="s">
        <v>87</v>
      </c>
    </row>
    <row r="3" spans="1:3" x14ac:dyDescent="0.3">
      <c r="A3" s="7" t="s">
        <v>88</v>
      </c>
      <c r="B3" s="28">
        <v>45780</v>
      </c>
      <c r="C3" s="7" t="str">
        <f>IF(OR(MONTH(B3)=5,MONTH(B3)=10),"발송","")</f>
        <v>발송</v>
      </c>
    </row>
    <row r="4" spans="1:3" x14ac:dyDescent="0.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 x14ac:dyDescent="0.3">
      <c r="A5" s="7" t="s">
        <v>90</v>
      </c>
      <c r="B5" s="28">
        <v>45940</v>
      </c>
      <c r="C5" s="7" t="str">
        <f t="shared" si="0"/>
        <v>발송</v>
      </c>
    </row>
    <row r="6" spans="1:3" x14ac:dyDescent="0.3">
      <c r="A6" s="7" t="s">
        <v>91</v>
      </c>
      <c r="B6" s="28">
        <v>45972</v>
      </c>
      <c r="C6" s="7" t="str">
        <f t="shared" si="0"/>
        <v/>
      </c>
    </row>
    <row r="7" spans="1:3" x14ac:dyDescent="0.3">
      <c r="A7" s="7" t="s">
        <v>92</v>
      </c>
      <c r="B7" s="28">
        <v>45992</v>
      </c>
      <c r="C7" s="7" t="str">
        <f t="shared" si="0"/>
        <v/>
      </c>
    </row>
    <row r="8" spans="1:3" x14ac:dyDescent="0.3">
      <c r="A8" s="7" t="s">
        <v>93</v>
      </c>
      <c r="B8" s="28">
        <v>45787</v>
      </c>
      <c r="C8" s="7" t="str">
        <f t="shared" si="0"/>
        <v>발송</v>
      </c>
    </row>
    <row r="9" spans="1:3" x14ac:dyDescent="0.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sumif</vt:lpstr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2024-07-16T07:55:59Z</dcterms:created>
  <dcterms:modified xsi:type="dcterms:W3CDTF">2026-07-13T12:51:58Z</dcterms:modified>
</cp:coreProperties>
</file>
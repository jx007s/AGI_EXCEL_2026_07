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이론\"/>
    </mc:Choice>
  </mc:AlternateContent>
  <xr:revisionPtr revIDLastSave="0" documentId="13_ncr:1_{9ADAB7CB-6C68-48AA-9539-7C0C9C664FE6}" xr6:coauthVersionLast="47" xr6:coauthVersionMax="47" xr10:uidLastSave="{00000000-0000-0000-0000-000000000000}"/>
  <bookViews>
    <workbookView xWindow="22932" yWindow="-108" windowWidth="23256" windowHeight="12576" tabRatio="877" activeTab="5" xr2:uid="{9F8224EA-6291-48E1-9959-4FE36C2B9828}"/>
  </bookViews>
  <sheets>
    <sheet name="sumif" sheetId="11" r:id="rId1"/>
    <sheet name="DMAX" sheetId="10" r:id="rId2"/>
    <sheet name="AVERAGE" sheetId="3" r:id="rId3"/>
    <sheet name="RANK" sheetId="7" r:id="rId4"/>
    <sheet name="MODE" sheetId="8" r:id="rId5"/>
    <sheet name="HLOOKUP" sheetId="4" r:id="rId6"/>
    <sheet name="MATCH" sheetId="2" r:id="rId7"/>
    <sheet name="HOUR" sheetId="5" r:id="rId8"/>
    <sheet name="WEEKDAY" sheetId="6" r:id="rId9"/>
    <sheet name="LEFT,MID" sheetId="1" r:id="rId10"/>
    <sheet name="OR" sheetId="9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Q19" i="4" l="1"/>
  <c r="Q18" i="4"/>
  <c r="Q17" i="4"/>
  <c r="P24" i="4"/>
  <c r="J46" i="4"/>
  <c r="J45" i="4"/>
  <c r="J43" i="4"/>
  <c r="J42" i="4"/>
  <c r="J36" i="4"/>
  <c r="H30" i="4"/>
  <c r="H3" i="4"/>
  <c r="H4" i="4"/>
  <c r="H5" i="4"/>
  <c r="H6" i="4"/>
  <c r="H7" i="4"/>
  <c r="H8" i="4"/>
  <c r="H9" i="4"/>
  <c r="D3" i="4"/>
  <c r="G3" i="4"/>
  <c r="G4" i="4"/>
  <c r="G5" i="4"/>
  <c r="G6" i="4"/>
  <c r="G7" i="4"/>
  <c r="G8" i="4"/>
  <c r="G9" i="4"/>
  <c r="F3" i="4"/>
  <c r="F4" i="4"/>
  <c r="F5" i="4"/>
  <c r="F6" i="4"/>
  <c r="F7" i="4"/>
  <c r="F8" i="4"/>
  <c r="F9" i="4"/>
  <c r="E3" i="4"/>
  <c r="E4" i="4"/>
  <c r="E5" i="4"/>
  <c r="E6" i="4"/>
  <c r="E7" i="4"/>
  <c r="E8" i="4"/>
  <c r="E9" i="4"/>
  <c r="K25" i="4"/>
  <c r="O13" i="4"/>
  <c r="O12" i="4"/>
  <c r="O2" i="4"/>
  <c r="J3" i="7"/>
  <c r="I3" i="7"/>
  <c r="F4" i="7"/>
  <c r="G4" i="7"/>
  <c r="F5" i="7"/>
  <c r="G5" i="7"/>
  <c r="F6" i="7"/>
  <c r="G6" i="7"/>
  <c r="F7" i="7"/>
  <c r="G7" i="7"/>
  <c r="G3" i="7"/>
  <c r="F3" i="7"/>
  <c r="E4" i="7"/>
  <c r="E5" i="7"/>
  <c r="E6" i="7"/>
  <c r="E7" i="7"/>
  <c r="E3" i="7"/>
  <c r="I9" i="10"/>
  <c r="I8" i="10"/>
  <c r="I7" i="10"/>
  <c r="I6" i="10"/>
  <c r="I5" i="10"/>
  <c r="I4" i="10"/>
  <c r="I3" i="10"/>
  <c r="I2" i="10"/>
  <c r="K11" i="11"/>
  <c r="C12" i="11"/>
  <c r="C11" i="11"/>
  <c r="C11" i="10"/>
  <c r="C9" i="9"/>
  <c r="C8" i="9"/>
  <c r="C7" i="9"/>
  <c r="C6" i="9"/>
  <c r="C5" i="9"/>
  <c r="C4" i="9"/>
  <c r="C3" i="9"/>
  <c r="C12" i="8"/>
  <c r="C4" i="7"/>
  <c r="C5" i="7"/>
  <c r="C6" i="7"/>
  <c r="C7" i="7"/>
  <c r="C3" i="7"/>
  <c r="C7" i="6" l="1"/>
  <c r="C6" i="6"/>
  <c r="C5" i="6"/>
  <c r="C4" i="6"/>
  <c r="C3" i="6"/>
  <c r="D8" i="5"/>
  <c r="D7" i="5"/>
  <c r="D6" i="5"/>
  <c r="D5" i="5"/>
  <c r="D4" i="5"/>
  <c r="D3" i="5"/>
  <c r="D4" i="4"/>
  <c r="D5" i="4"/>
  <c r="D6" i="4"/>
  <c r="D7" i="4"/>
  <c r="D8" i="4"/>
  <c r="D9" i="4"/>
  <c r="E11" i="3"/>
  <c r="E10" i="3"/>
  <c r="E9" i="3"/>
  <c r="E8" i="3"/>
  <c r="E7" i="3"/>
  <c r="E6" i="3"/>
  <c r="E5" i="3"/>
  <c r="E4" i="3"/>
  <c r="E3" i="3"/>
  <c r="C11" i="2"/>
  <c r="C4" i="1"/>
  <c r="C5" i="1"/>
  <c r="C6" i="1"/>
  <c r="C7" i="1"/>
  <c r="C8" i="1"/>
  <c r="C9" i="1"/>
  <c r="C3" i="1"/>
</calcChain>
</file>

<file path=xl/sharedStrings.xml><?xml version="1.0" encoding="utf-8"?>
<sst xmlns="http://schemas.openxmlformats.org/spreadsheetml/2006/main" count="311" uniqueCount="218">
  <si>
    <t>학생명 성적</t>
    <phoneticPr fontId="3" type="noConversion"/>
  </si>
  <si>
    <t>&lt;학과표&gt;</t>
    <phoneticPr fontId="3" type="noConversion"/>
  </si>
  <si>
    <t>학번</t>
    <phoneticPr fontId="3" type="noConversion"/>
  </si>
  <si>
    <t>학생명</t>
    <phoneticPr fontId="3" type="noConversion"/>
  </si>
  <si>
    <t>학과</t>
    <phoneticPr fontId="3" type="noConversion"/>
  </si>
  <si>
    <t>학과번호</t>
    <phoneticPr fontId="3" type="noConversion"/>
  </si>
  <si>
    <t>유창상</t>
    <phoneticPr fontId="3" type="noConversion"/>
  </si>
  <si>
    <t>11</t>
    <phoneticPr fontId="3" type="noConversion"/>
  </si>
  <si>
    <t>AI융합</t>
    <phoneticPr fontId="3" type="noConversion"/>
  </si>
  <si>
    <t>김현수</t>
    <phoneticPr fontId="3" type="noConversion"/>
  </si>
  <si>
    <t>22</t>
    <phoneticPr fontId="3" type="noConversion"/>
  </si>
  <si>
    <t>소프트웨어</t>
    <phoneticPr fontId="3" type="noConversion"/>
  </si>
  <si>
    <t>한경수</t>
    <phoneticPr fontId="3" type="noConversion"/>
  </si>
  <si>
    <t>33</t>
    <phoneticPr fontId="3" type="noConversion"/>
  </si>
  <si>
    <t>글로벌미디어</t>
    <phoneticPr fontId="3" type="noConversion"/>
  </si>
  <si>
    <t>정수연</t>
    <phoneticPr fontId="3" type="noConversion"/>
  </si>
  <si>
    <t>최경철</t>
    <phoneticPr fontId="3" type="noConversion"/>
  </si>
  <si>
    <t>오태환</t>
    <phoneticPr fontId="3" type="noConversion"/>
  </si>
  <si>
    <t>임장미</t>
    <phoneticPr fontId="3" type="noConversion"/>
  </si>
  <si>
    <t>[표1]</t>
    <phoneticPr fontId="3" type="noConversion"/>
  </si>
  <si>
    <t>고객별 구입 현황</t>
    <phoneticPr fontId="3" type="noConversion"/>
  </si>
  <si>
    <t>고객명</t>
    <phoneticPr fontId="3" type="noConversion"/>
  </si>
  <si>
    <t>등급</t>
    <phoneticPr fontId="3" type="noConversion"/>
  </si>
  <si>
    <t>구입수량</t>
    <phoneticPr fontId="3" type="noConversion"/>
  </si>
  <si>
    <t>구입총액</t>
    <phoneticPr fontId="3" type="noConversion"/>
  </si>
  <si>
    <t>허영욱</t>
    <phoneticPr fontId="3" type="noConversion"/>
  </si>
  <si>
    <t>골드</t>
    <phoneticPr fontId="3" type="noConversion"/>
  </si>
  <si>
    <t>최주원</t>
    <phoneticPr fontId="3" type="noConversion"/>
  </si>
  <si>
    <t>일반</t>
    <phoneticPr fontId="3" type="noConversion"/>
  </si>
  <si>
    <t>이수학</t>
    <phoneticPr fontId="3" type="noConversion"/>
  </si>
  <si>
    <t>안혜경</t>
    <phoneticPr fontId="3" type="noConversion"/>
  </si>
  <si>
    <t>김신성</t>
    <phoneticPr fontId="3" type="noConversion"/>
  </si>
  <si>
    <t>VIP</t>
    <phoneticPr fontId="3" type="noConversion"/>
  </si>
  <si>
    <t>김태희</t>
    <phoneticPr fontId="3" type="noConversion"/>
  </si>
  <si>
    <t>선기섭</t>
    <phoneticPr fontId="3" type="noConversion"/>
  </si>
  <si>
    <t>정신영</t>
    <phoneticPr fontId="3" type="noConversion"/>
  </si>
  <si>
    <t>등급이 '골드'인 구입총액이 높은 고객</t>
    <phoneticPr fontId="3" type="noConversion"/>
  </si>
  <si>
    <t>성명</t>
    <phoneticPr fontId="3" type="noConversion"/>
  </si>
  <si>
    <t>수행평가1</t>
    <phoneticPr fontId="3" type="noConversion"/>
  </si>
  <si>
    <t>수행평가2</t>
    <phoneticPr fontId="3" type="noConversion"/>
  </si>
  <si>
    <t>수행평가3</t>
    <phoneticPr fontId="3" type="noConversion"/>
  </si>
  <si>
    <t>비고</t>
    <phoneticPr fontId="3" type="noConversion"/>
  </si>
  <si>
    <t>김미정</t>
    <phoneticPr fontId="3" type="noConversion"/>
  </si>
  <si>
    <t>서진수</t>
    <phoneticPr fontId="3" type="noConversion"/>
  </si>
  <si>
    <t>박주영</t>
    <phoneticPr fontId="3" type="noConversion"/>
  </si>
  <si>
    <t>원영현</t>
    <phoneticPr fontId="3" type="noConversion"/>
  </si>
  <si>
    <t>오선영</t>
    <phoneticPr fontId="3" type="noConversion"/>
  </si>
  <si>
    <t>박진희</t>
    <phoneticPr fontId="3" type="noConversion"/>
  </si>
  <si>
    <t>편승주</t>
    <phoneticPr fontId="3" type="noConversion"/>
  </si>
  <si>
    <t>곽나래</t>
    <phoneticPr fontId="3" type="noConversion"/>
  </si>
  <si>
    <t>도홍진</t>
    <phoneticPr fontId="3" type="noConversion"/>
  </si>
  <si>
    <t>학점</t>
    <phoneticPr fontId="3" type="noConversion"/>
  </si>
  <si>
    <t>등록금</t>
    <phoneticPr fontId="3" type="noConversion"/>
  </si>
  <si>
    <t>납부액</t>
    <phoneticPr fontId="3" type="noConversion"/>
  </si>
  <si>
    <t>최은미</t>
    <phoneticPr fontId="3" type="noConversion"/>
  </si>
  <si>
    <t>&lt;할인율표&gt;</t>
    <phoneticPr fontId="3" type="noConversion"/>
  </si>
  <si>
    <t>등수</t>
    <phoneticPr fontId="3" type="noConversion"/>
  </si>
  <si>
    <t>할인율</t>
    <phoneticPr fontId="3" type="noConversion"/>
  </si>
  <si>
    <t>성명</t>
    <phoneticPr fontId="7" type="noConversion"/>
  </si>
  <si>
    <t>입실시간</t>
    <phoneticPr fontId="3" type="noConversion"/>
  </si>
  <si>
    <t>퇴실시간</t>
    <phoneticPr fontId="3" type="noConversion"/>
  </si>
  <si>
    <t>이용시간</t>
    <phoneticPr fontId="3" type="noConversion"/>
  </si>
  <si>
    <t>한가람</t>
    <phoneticPr fontId="7" type="noConversion"/>
  </si>
  <si>
    <t>김은철</t>
    <phoneticPr fontId="7" type="noConversion"/>
  </si>
  <si>
    <t>고사리</t>
    <phoneticPr fontId="7" type="noConversion"/>
  </si>
  <si>
    <t>박은별</t>
    <phoneticPr fontId="7" type="noConversion"/>
  </si>
  <si>
    <t>성준서</t>
    <phoneticPr fontId="7" type="noConversion"/>
  </si>
  <si>
    <t>이성연</t>
    <phoneticPr fontId="7" type="noConversion"/>
  </si>
  <si>
    <t>도서번호</t>
    <phoneticPr fontId="3" type="noConversion"/>
  </si>
  <si>
    <t>대출일</t>
    <phoneticPr fontId="3" type="noConversion"/>
  </si>
  <si>
    <t>반납일</t>
    <phoneticPr fontId="7" type="noConversion"/>
  </si>
  <si>
    <t>A10101</t>
    <phoneticPr fontId="3" type="noConversion"/>
  </si>
  <si>
    <t>A10102</t>
  </si>
  <si>
    <t>A10103</t>
  </si>
  <si>
    <t>A10104</t>
  </si>
  <si>
    <t>A10105</t>
  </si>
  <si>
    <t>김민서</t>
    <phoneticPr fontId="3" type="noConversion"/>
  </si>
  <si>
    <t>김강후</t>
    <phoneticPr fontId="3" type="noConversion"/>
  </si>
  <si>
    <t>이지우</t>
    <phoneticPr fontId="3" type="noConversion"/>
  </si>
  <si>
    <t>강예준</t>
    <phoneticPr fontId="3" type="noConversion"/>
  </si>
  <si>
    <t>최건우</t>
    <phoneticPr fontId="3" type="noConversion"/>
  </si>
  <si>
    <t>평균</t>
    <phoneticPr fontId="3" type="noConversion"/>
  </si>
  <si>
    <t>이름</t>
    <phoneticPr fontId="3" type="noConversion"/>
  </si>
  <si>
    <t>양의정</t>
    <phoneticPr fontId="3" type="noConversion"/>
  </si>
  <si>
    <t>구입빈도 높은 고객수</t>
    <phoneticPr fontId="3" type="noConversion"/>
  </si>
  <si>
    <t>고객번호</t>
    <phoneticPr fontId="3" type="noConversion"/>
  </si>
  <si>
    <t>가입 날짜</t>
    <phoneticPr fontId="3" type="noConversion"/>
  </si>
  <si>
    <t>발송여부</t>
    <phoneticPr fontId="3" type="noConversion"/>
  </si>
  <si>
    <t>AT101</t>
    <phoneticPr fontId="3" type="noConversion"/>
  </si>
  <si>
    <t>AT102</t>
  </si>
  <si>
    <t>AT103</t>
  </si>
  <si>
    <t>AT104</t>
  </si>
  <si>
    <t>AT105</t>
  </si>
  <si>
    <t>AT106</t>
  </si>
  <si>
    <t>AT107</t>
  </si>
  <si>
    <t>평점</t>
    <phoneticPr fontId="3" type="noConversion"/>
  </si>
  <si>
    <t>컴퓨터학과</t>
    <phoneticPr fontId="3" type="noConversion"/>
  </si>
  <si>
    <t>경영학과</t>
    <phoneticPr fontId="3" type="noConversion"/>
  </si>
  <si>
    <t>정보통신과</t>
    <phoneticPr fontId="3" type="noConversion"/>
  </si>
  <si>
    <t>&lt;조건&gt;</t>
    <phoneticPr fontId="3" type="noConversion"/>
  </si>
  <si>
    <t>이민호</t>
    <phoneticPr fontId="3" type="noConversion"/>
  </si>
  <si>
    <t>정보통신, 컴퓨터학과 최고성적 평균</t>
    <phoneticPr fontId="3" type="noConversion"/>
  </si>
  <si>
    <t>sumif</t>
    <phoneticPr fontId="3" type="noConversion"/>
  </si>
  <si>
    <t>averageif</t>
    <phoneticPr fontId="3" type="noConversion"/>
  </si>
  <si>
    <t>sumifs</t>
    <phoneticPr fontId="3" type="noConversion"/>
  </si>
  <si>
    <t>=SUMIFS(K3:K10,I3:I10,"컴퓨터학과",K3:K10,"&gt;=3.5")</t>
    <phoneticPr fontId="3" type="noConversion"/>
  </si>
  <si>
    <t>K3:K10  :  합계영역
I3:I10 : 조건1범위
"컴퓨터학과" : 조건1
K3:K10 : 조건2범위
"&gt;=3.5" : 조건2</t>
    <phoneticPr fontId="3" type="noConversion"/>
  </si>
  <si>
    <t>조건1과 조건2,...의and연산 합계</t>
    <phoneticPr fontId="3" type="noConversion"/>
  </si>
  <si>
    <t>dsum</t>
    <phoneticPr fontId="3" type="noConversion"/>
  </si>
  <si>
    <t>daverage</t>
    <phoneticPr fontId="3" type="noConversion"/>
  </si>
  <si>
    <t>dcount</t>
    <phoneticPr fontId="3" type="noConversion"/>
  </si>
  <si>
    <t>dcounta</t>
    <phoneticPr fontId="3" type="noConversion"/>
  </si>
  <si>
    <t>dmax</t>
    <phoneticPr fontId="3" type="noConversion"/>
  </si>
  <si>
    <t>dmin</t>
    <phoneticPr fontId="3" type="noConversion"/>
  </si>
  <si>
    <t>dstdev</t>
    <phoneticPr fontId="3" type="noConversion"/>
  </si>
  <si>
    <t>dvar</t>
    <phoneticPr fontId="3" type="noConversion"/>
  </si>
  <si>
    <t>인원수</t>
    <phoneticPr fontId="3" type="noConversion"/>
  </si>
  <si>
    <t>담당자</t>
    <phoneticPr fontId="3" type="noConversion"/>
  </si>
  <si>
    <t>정우성</t>
    <phoneticPr fontId="3" type="noConversion"/>
  </si>
  <si>
    <t>정좌성</t>
    <phoneticPr fontId="3" type="noConversion"/>
  </si>
  <si>
    <t>정남성</t>
    <phoneticPr fontId="3" type="noConversion"/>
  </si>
  <si>
    <t>숫자만 개수</t>
    <phoneticPr fontId="3" type="noConversion"/>
  </si>
  <si>
    <t>숫자,글자 개수</t>
    <phoneticPr fontId="3" type="noConversion"/>
  </si>
  <si>
    <t>표준편차</t>
    <phoneticPr fontId="3" type="noConversion"/>
  </si>
  <si>
    <t>분산</t>
    <phoneticPr fontId="3" type="noConversion"/>
  </si>
  <si>
    <t>=RANK.EQ(B3,$B$3:$B$7)</t>
    <phoneticPr fontId="3" type="noConversion"/>
  </si>
  <si>
    <t>=RANK.EQ(현재값,비교할범위,순위결정)</t>
    <phoneticPr fontId="3" type="noConversion"/>
  </si>
  <si>
    <t>내림차순</t>
    <phoneticPr fontId="3" type="noConversion"/>
  </si>
  <si>
    <t>오름차순</t>
    <phoneticPr fontId="3" type="noConversion"/>
  </si>
  <si>
    <t>사자</t>
    <phoneticPr fontId="3" type="noConversion"/>
  </si>
  <si>
    <t>호랑이</t>
    <phoneticPr fontId="3" type="noConversion"/>
  </si>
  <si>
    <t>오타니</t>
    <phoneticPr fontId="3" type="noConversion"/>
  </si>
  <si>
    <t>고래</t>
    <phoneticPr fontId="3" type="noConversion"/>
  </si>
  <si>
    <t>악어</t>
    <phoneticPr fontId="3" type="noConversion"/>
  </si>
  <si>
    <t>상어</t>
    <phoneticPr fontId="3" type="noConversion"/>
  </si>
  <si>
    <t>독수리</t>
    <phoneticPr fontId="3" type="noConversion"/>
  </si>
  <si>
    <t>포유류</t>
    <phoneticPr fontId="3" type="noConversion"/>
  </si>
  <si>
    <t>이도류</t>
    <phoneticPr fontId="3" type="noConversion"/>
  </si>
  <si>
    <t>파충류</t>
    <phoneticPr fontId="3" type="noConversion"/>
  </si>
  <si>
    <t>어류</t>
    <phoneticPr fontId="3" type="noConversion"/>
  </si>
  <si>
    <t>조류</t>
    <phoneticPr fontId="3" type="noConversion"/>
  </si>
  <si>
    <t>개구리</t>
    <phoneticPr fontId="3" type="noConversion"/>
  </si>
  <si>
    <t>양서류</t>
    <phoneticPr fontId="3" type="noConversion"/>
  </si>
  <si>
    <t>=VLOOKUP(L1,H2:J9,3,0)  : 세로방향 찾기</t>
    <phoneticPr fontId="3" type="noConversion"/>
  </si>
  <si>
    <t>h2:j9   찾는 범위</t>
    <phoneticPr fontId="3" type="noConversion"/>
  </si>
  <si>
    <t>3        찾은 값의 결과 열번호</t>
    <phoneticPr fontId="3" type="noConversion"/>
  </si>
  <si>
    <t>0: 일치,  1: 유사</t>
    <phoneticPr fontId="3" type="noConversion"/>
  </si>
  <si>
    <t>도마뱀</t>
    <phoneticPr fontId="3" type="noConversion"/>
  </si>
  <si>
    <t>L1 혹은 "사자" : 찾는값  --&gt; 범위의 첫번째 열이어야 한다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</si>
  <si>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</si>
  <si>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</si>
  <si>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</si>
  <si>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</si>
  <si>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F</t>
    <phoneticPr fontId="3" type="noConversion"/>
  </si>
  <si>
    <t>훌륭</t>
    <phoneticPr fontId="3" type="noConversion"/>
  </si>
  <si>
    <t>우수</t>
    <phoneticPr fontId="3" type="noConversion"/>
  </si>
  <si>
    <t>양호</t>
    <phoneticPr fontId="3" type="noConversion"/>
  </si>
  <si>
    <t>정상</t>
    <phoneticPr fontId="3" type="noConversion"/>
  </si>
  <si>
    <t>미달</t>
    <phoneticPr fontId="3" type="noConversion"/>
  </si>
  <si>
    <t>0 - 검색값과 첫번째 열의 검색값이 일치할 경우만 결과리턴</t>
    <phoneticPr fontId="3" type="noConversion"/>
  </si>
  <si>
    <t>1 - 유사일치 : 검색값이 첫번째 열의 값과 일치 혹은 유사값 리턴</t>
    <phoneticPr fontId="3" type="noConversion"/>
  </si>
  <si>
    <t>유사값 : 검색값이 다음값보다 클경우 이전 값을 리턴</t>
    <phoneticPr fontId="3" type="noConversion"/>
  </si>
  <si>
    <t>부산</t>
    <phoneticPr fontId="3" type="noConversion"/>
  </si>
  <si>
    <t>경남</t>
    <phoneticPr fontId="3" type="noConversion"/>
  </si>
  <si>
    <t>전주</t>
    <phoneticPr fontId="3" type="noConversion"/>
  </si>
  <si>
    <t>전북</t>
    <phoneticPr fontId="3" type="noConversion"/>
  </si>
  <si>
    <t>서울</t>
    <phoneticPr fontId="3" type="noConversion"/>
  </si>
  <si>
    <t>경기도</t>
    <phoneticPr fontId="3" type="noConversion"/>
  </si>
  <si>
    <t>강릉</t>
    <phoneticPr fontId="3" type="noConversion"/>
  </si>
  <si>
    <t>강원</t>
    <phoneticPr fontId="3" type="noConversion"/>
  </si>
  <si>
    <t>대전</t>
    <phoneticPr fontId="3" type="noConversion"/>
  </si>
  <si>
    <t>충청</t>
    <phoneticPr fontId="3" type="noConversion"/>
  </si>
  <si>
    <t>돼지국밥</t>
    <phoneticPr fontId="3" type="noConversion"/>
  </si>
  <si>
    <t>비빔밥</t>
    <phoneticPr fontId="3" type="noConversion"/>
  </si>
  <si>
    <t>돈까스</t>
    <phoneticPr fontId="3" type="noConversion"/>
  </si>
  <si>
    <t>감자</t>
    <phoneticPr fontId="3" type="noConversion"/>
  </si>
  <si>
    <t>성심당</t>
    <phoneticPr fontId="3" type="noConversion"/>
  </si>
  <si>
    <t>rank</t>
    <phoneticPr fontId="3" type="noConversion"/>
  </si>
  <si>
    <t>hlookup</t>
    <phoneticPr fontId="3" type="noConversion"/>
  </si>
  <si>
    <t>납부액1</t>
    <phoneticPr fontId="3" type="noConversion"/>
  </si>
  <si>
    <t>납부액2</t>
    <phoneticPr fontId="3" type="noConversion"/>
  </si>
  <si>
    <t>=CHOOSE(3,"일","월","화","수","목","금","토")</t>
    <phoneticPr fontId="3" type="noConversion"/>
  </si>
  <si>
    <t>인덱스 번호의 값 리턴</t>
    <phoneticPr fontId="3" type="noConversion"/>
  </si>
  <si>
    <t>3 : 인덱스</t>
    <phoneticPr fontId="3" type="noConversion"/>
  </si>
  <si>
    <t xml:space="preserve">"일","월","화","수","목","금","토" : 리스트 항목 </t>
    <phoneticPr fontId="3" type="noConversion"/>
  </si>
  <si>
    <t>"일" : 1 , "월" : 2 , ~ "금":6, "토": 7</t>
    <phoneticPr fontId="3" type="noConversion"/>
  </si>
  <si>
    <t>피카츄</t>
    <phoneticPr fontId="3" type="noConversion"/>
  </si>
  <si>
    <t>라이츄</t>
    <phoneticPr fontId="3" type="noConversion"/>
  </si>
  <si>
    <t>파이리</t>
    <phoneticPr fontId="3" type="noConversion"/>
  </si>
  <si>
    <t>꼬부기</t>
    <phoneticPr fontId="3" type="noConversion"/>
  </si>
  <si>
    <t>버터플</t>
    <phoneticPr fontId="3" type="noConversion"/>
  </si>
  <si>
    <t>야도란</t>
    <phoneticPr fontId="3" type="noConversion"/>
  </si>
  <si>
    <t>피존또</t>
    <phoneticPr fontId="3" type="noConversion"/>
  </si>
  <si>
    <t>또거스</t>
    <phoneticPr fontId="3" type="noConversion"/>
  </si>
  <si>
    <t>이상해씨</t>
    <phoneticPr fontId="3" type="noConversion"/>
  </si>
  <si>
    <t>리자드</t>
    <phoneticPr fontId="3" type="noConversion"/>
  </si>
  <si>
    <t>리자몽</t>
    <phoneticPr fontId="3" type="noConversion"/>
  </si>
  <si>
    <t>아보크</t>
    <phoneticPr fontId="3" type="noConversion"/>
  </si>
  <si>
    <t xml:space="preserve">=INDEX(F36:H39,3,2) </t>
    <phoneticPr fontId="3" type="noConversion"/>
  </si>
  <si>
    <t>F36:H39 : 범위 혹은 행렬</t>
    <phoneticPr fontId="3" type="noConversion"/>
  </si>
  <si>
    <t>3: 행번호</t>
    <phoneticPr fontId="3" type="noConversion"/>
  </si>
  <si>
    <t>2: 열번호</t>
    <phoneticPr fontId="3" type="noConversion"/>
  </si>
  <si>
    <t>=COLUMN(G36) : 열번호 G -&gt; 7</t>
    <phoneticPr fontId="3" type="noConversion"/>
  </si>
  <si>
    <t>=ROW(G36) : 행번호</t>
    <phoneticPr fontId="3" type="noConversion"/>
  </si>
  <si>
    <t>=COLUMNS(F36:H39) : 열갯수</t>
    <phoneticPr fontId="3" type="noConversion"/>
  </si>
  <si>
    <t>=rows(F36:H39) : 행갯수</t>
    <phoneticPr fontId="3" type="noConversion"/>
  </si>
  <si>
    <t>=MATCH(K24,K20:O20,0)</t>
    <phoneticPr fontId="3" type="noConversion"/>
  </si>
  <si>
    <t>검색값의 위치</t>
    <phoneticPr fontId="3" type="noConversion"/>
  </si>
  <si>
    <t>K24: 검색값</t>
    <phoneticPr fontId="3" type="noConversion"/>
  </si>
  <si>
    <t>K20:O20 : 검색범위</t>
    <phoneticPr fontId="3" type="noConversion"/>
  </si>
  <si>
    <t>0: 일치, 1: 검색값보다 작은값중 최대, -1: 검색값보다 큰값중 최소</t>
    <phoneticPr fontId="3" type="noConversion"/>
  </si>
  <si>
    <t>match</t>
    <phoneticPr fontId="3" type="noConversion"/>
  </si>
  <si>
    <t>0: 일치</t>
    <phoneticPr fontId="3" type="noConversion"/>
  </si>
  <si>
    <t>1: 검색값보다 작은값중 최대</t>
    <phoneticPr fontId="3" type="noConversion"/>
  </si>
  <si>
    <t>-1: 검색값보다 큰값중 최소 (범위가 내림차순이어야함)</t>
    <phoneticPr fontId="3" type="noConversion"/>
  </si>
  <si>
    <t>=MATCH(O11,K12:K16,0)</t>
    <phoneticPr fontId="3" type="noConversion"/>
  </si>
  <si>
    <t>=MATCH(O11,K12:K16,1)</t>
    <phoneticPr fontId="3" type="noConversion"/>
  </si>
  <si>
    <t>=MATCH(O11,K12:K16,-1)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</si>
</sst>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_-* #,##0.0_-;\-* #,##0.0_-;_-* &quot;-&quot;_-;_-@_-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1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</cellStyleXfs>
  <cellXfs count="53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6" fillId="0" borderId="0" xfId="2" applyFont="1">
      <alignment vertical="center"/>
    </xf>
    <xf numFmtId="0" fontId="6" fillId="0" borderId="0" xfId="2" applyFont="1" applyAlignment="1">
      <alignment horizontal="right" vertical="center"/>
    </xf>
    <xf numFmtId="0" fontId="6" fillId="0" borderId="1" xfId="2" applyFont="1" applyBorder="1" applyAlignment="1">
      <alignment horizontal="center" vertical="center"/>
    </xf>
    <xf numFmtId="0" fontId="6" fillId="2" borderId="1" xfId="2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2" fillId="0" borderId="1" xfId="1" applyFont="1" applyFill="1" applyBorder="1" applyAlignment="1">
      <alignment horizontal="left" vertical="center"/>
    </xf>
    <xf numFmtId="49" fontId="0" fillId="0" borderId="1" xfId="0" quotePrefix="1" applyNumberForma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1" fontId="2" fillId="0" borderId="1" xfId="1" applyFont="1" applyFill="1" applyBorder="1" applyAlignment="1">
      <alignment vertical="center"/>
    </xf>
    <xf numFmtId="41" fontId="2" fillId="0" borderId="1" xfId="1" applyFont="1" applyFill="1" applyBorder="1" applyAlignment="1">
      <alignment horizontal="center" vertical="center"/>
    </xf>
    <xf numFmtId="176" fontId="6" fillId="0" borderId="1" xfId="1" applyNumberFormat="1" applyFon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41" fontId="6" fillId="0" borderId="1" xfId="1" applyFont="1" applyFill="1" applyBorder="1" applyAlignment="1">
      <alignment horizontal="center" vertical="center"/>
    </xf>
    <xf numFmtId="41" fontId="6" fillId="0" borderId="1" xfId="1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41" fontId="6" fillId="0" borderId="0" xfId="3" applyFont="1" applyFill="1" applyBorder="1" applyAlignment="1">
      <alignment horizontal="center" vertical="center"/>
    </xf>
    <xf numFmtId="0" fontId="6" fillId="0" borderId="4" xfId="2" applyFont="1" applyBorder="1" applyAlignment="1">
      <alignment horizontal="left" vertical="center"/>
    </xf>
    <xf numFmtId="0" fontId="6" fillId="0" borderId="5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9" fontId="6" fillId="0" borderId="1" xfId="1" applyNumberFormat="1" applyFont="1" applyFill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0" fontId="6" fillId="0" borderId="1" xfId="4" applyFont="1" applyBorder="1" applyAlignment="1">
      <alignment horizontal="center"/>
    </xf>
    <xf numFmtId="20" fontId="0" fillId="0" borderId="1" xfId="0" applyNumberFormat="1" applyBorder="1">
      <alignment vertical="center"/>
    </xf>
    <xf numFmtId="0" fontId="6" fillId="0" borderId="0" xfId="4" applyFont="1" applyAlignment="1">
      <alignment horizontal="left"/>
    </xf>
    <xf numFmtId="0" fontId="6" fillId="2" borderId="1" xfId="5" applyFont="1" applyFill="1" applyBorder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41" fontId="2" fillId="0" borderId="1" xfId="1" applyFont="1" applyFill="1" applyBorder="1">
      <alignment vertical="center"/>
    </xf>
    <xf numFmtId="0" fontId="2" fillId="0" borderId="0" xfId="0" applyFont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2" fillId="2" borderId="3" xfId="0" applyFont="1" applyFill="1" applyBorder="1" applyAlignment="1">
      <alignment vertical="center" shrinkToFit="1"/>
    </xf>
    <xf numFmtId="0" fontId="0" fillId="0" borderId="0" xfId="0" quotePrefix="1">
      <alignment vertical="center"/>
    </xf>
    <xf numFmtId="0" fontId="0" fillId="0" borderId="0" xfId="0" applyAlignment="1">
      <alignment vertical="center" wrapText="1"/>
    </xf>
    <xf numFmtId="0" fontId="6" fillId="0" borderId="0" xfId="2" applyFont="1" applyFill="1" applyBorder="1" applyAlignment="1">
      <alignment horizontal="left" vertical="center"/>
    </xf>
    <xf numFmtId="0" fontId="6" fillId="0" borderId="8" xfId="2" applyFont="1" applyFill="1" applyBorder="1" applyAlignment="1">
      <alignment horizontal="center" vertical="center"/>
    </xf>
    <xf numFmtId="0" fontId="6" fillId="0" borderId="9" xfId="2" applyFont="1" applyFill="1" applyBorder="1" applyAlignment="1">
      <alignment horizontal="center" vertical="center"/>
    </xf>
    <xf numFmtId="0" fontId="2" fillId="0" borderId="0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shrinkToFit="1"/>
    </xf>
    <xf numFmtId="0" fontId="2" fillId="2" borderId="2" xfId="0" applyFont="1" applyFill="1" applyBorder="1" applyAlignment="1">
      <alignment horizontal="center" vertical="center" shrinkToFit="1"/>
    </xf>
    <xf numFmtId="0" fontId="2" fillId="2" borderId="6" xfId="0" applyFont="1" applyFill="1" applyBorder="1" applyAlignment="1">
      <alignment horizontal="center" vertical="center" shrinkToFit="1"/>
    </xf>
    <xf numFmtId="0" fontId="0" fillId="0" borderId="7" xfId="0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6" fillId="0" borderId="0" xfId="2" applyFont="1" applyFill="1" applyBorder="1" applyAlignment="1">
      <alignment horizontal="center" vertical="center"/>
    </xf>
    <xf numFmtId="0" fontId="6" fillId="0" borderId="0" xfId="2" applyFont="1" applyBorder="1" applyAlignment="1">
      <alignment horizontal="left" vertical="center"/>
    </xf>
    <xf numFmtId="0" fontId="6" fillId="0" borderId="0" xfId="2" applyFont="1" applyBorder="1" applyAlignment="1">
      <alignment horizontal="center" vertical="center"/>
    </xf>
    <xf numFmtId="9" fontId="2" fillId="0" borderId="0" xfId="0" applyNumberFormat="1" applyFont="1" applyBorder="1" applyAlignment="1">
      <alignment horizontal="center" vertical="center"/>
    </xf>
    <xf numFmtId="9" fontId="2" fillId="0" borderId="0" xfId="0" applyNumberFormat="1" applyFont="1">
      <alignment vertical="center"/>
    </xf>
    <xf numFmtId="41" fontId="2" fillId="0" borderId="0" xfId="0" applyNumberFormat="1" applyFont="1">
      <alignment vertical="center"/>
    </xf>
    <xf numFmtId="20" fontId="0" fillId="0" borderId="0" xfId="0" applyNumberFormat="1">
      <alignment vertical="center"/>
    </xf>
  </cellXfs>
  <cellStyles count="6">
    <cellStyle name="쉼표 [0]" xfId="1" builtinId="6"/>
    <cellStyle name="쉼표 [0] 2 2" xfId="3" xr:uid="{73AF4E6F-26EB-470F-84F0-2E0F5DACC0E0}"/>
    <cellStyle name="표준" xfId="0" builtinId="0"/>
    <cellStyle name="표준 2 2" xfId="2" xr:uid="{227D1F61-63A4-4DC6-8C3F-62135EF072F4}"/>
    <cellStyle name="표준_기본작업-2" xfId="4" xr:uid="{12408365-572A-48B4-BC37-37F8E0EDEC1F}"/>
    <cellStyle name="표준_기본작업-3" xfId="5" xr:uid="{78359F3B-2E63-45D7-A955-13A99DC6E30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67286-868D-427C-B045-63CAB6601E47}">
  <dimension ref="A1:L12"/>
  <sheetViews>
    <sheetView topLeftCell="H8" zoomScale="190" zoomScaleNormal="190" workbookViewId="0">
      <selection activeCell="I13" sqref="I13"/>
    </sheetView>
  </sheetViews>
  <sheetFormatPr defaultRowHeight="16.5" x14ac:dyDescent="0.3"/>
  <cols>
    <col min="1" max="1" width="16.375" customWidth="1"/>
    <col min="2" max="2" width="12.875" customWidth="1"/>
    <col min="3" max="3" width="11.125" bestFit="1" customWidth="1"/>
    <col min="9" max="9" width="11" bestFit="1" customWidth="1"/>
    <col min="12" max="12" width="44.375" customWidth="1"/>
  </cols>
  <sheetData>
    <row r="1" spans="1:12" x14ac:dyDescent="0.3">
      <c r="A1" s="1" t="s">
        <v>19</v>
      </c>
      <c r="B1" s="3"/>
      <c r="C1" s="3"/>
      <c r="D1" s="3"/>
      <c r="E1" s="1"/>
    </row>
    <row r="2" spans="1:12" x14ac:dyDescent="0.3">
      <c r="A2" s="5" t="s">
        <v>4</v>
      </c>
      <c r="B2" s="5" t="s">
        <v>37</v>
      </c>
      <c r="C2" s="5" t="s">
        <v>95</v>
      </c>
      <c r="D2" s="1"/>
      <c r="H2" s="2"/>
      <c r="I2" s="5" t="s">
        <v>4</v>
      </c>
      <c r="J2" s="5" t="s">
        <v>37</v>
      </c>
      <c r="K2" s="5" t="s">
        <v>95</v>
      </c>
    </row>
    <row r="3" spans="1:12" x14ac:dyDescent="0.3">
      <c r="A3" s="5" t="s">
        <v>96</v>
      </c>
      <c r="B3" s="5" t="s">
        <v>6</v>
      </c>
      <c r="C3" s="5">
        <v>3.45</v>
      </c>
      <c r="D3" s="1"/>
      <c r="I3" s="5" t="s">
        <v>96</v>
      </c>
      <c r="J3" s="5" t="s">
        <v>6</v>
      </c>
      <c r="K3" s="5">
        <v>3.45</v>
      </c>
    </row>
    <row r="4" spans="1:12" x14ac:dyDescent="0.3">
      <c r="A4" s="5" t="s">
        <v>97</v>
      </c>
      <c r="B4" s="5" t="s">
        <v>9</v>
      </c>
      <c r="C4" s="5">
        <v>4.0199999999999996</v>
      </c>
      <c r="D4" s="1"/>
      <c r="I4" s="5" t="s">
        <v>97</v>
      </c>
      <c r="J4" s="5" t="s">
        <v>9</v>
      </c>
      <c r="K4" s="5">
        <v>4.0199999999999996</v>
      </c>
    </row>
    <row r="5" spans="1:12" x14ac:dyDescent="0.3">
      <c r="A5" s="5" t="s">
        <v>97</v>
      </c>
      <c r="B5" s="5" t="s">
        <v>12</v>
      </c>
      <c r="C5" s="5">
        <v>3.67</v>
      </c>
      <c r="D5" s="1"/>
      <c r="I5" s="5" t="s">
        <v>97</v>
      </c>
      <c r="J5" s="5" t="s">
        <v>12</v>
      </c>
      <c r="K5" s="5">
        <v>3.67</v>
      </c>
    </row>
    <row r="6" spans="1:12" x14ac:dyDescent="0.3">
      <c r="A6" s="5" t="s">
        <v>96</v>
      </c>
      <c r="B6" s="5" t="s">
        <v>15</v>
      </c>
      <c r="C6" s="5">
        <v>3.89</v>
      </c>
      <c r="D6" s="1"/>
      <c r="I6" s="5" t="s">
        <v>96</v>
      </c>
      <c r="J6" s="5" t="s">
        <v>15</v>
      </c>
      <c r="K6" s="5">
        <v>3.89</v>
      </c>
    </row>
    <row r="7" spans="1:12" x14ac:dyDescent="0.3">
      <c r="A7" s="5" t="s">
        <v>98</v>
      </c>
      <c r="B7" s="5" t="s">
        <v>16</v>
      </c>
      <c r="C7" s="5">
        <v>3.12</v>
      </c>
      <c r="D7" s="1"/>
      <c r="I7" s="5" t="s">
        <v>98</v>
      </c>
      <c r="J7" s="5" t="s">
        <v>16</v>
      </c>
      <c r="K7" s="5">
        <v>3.12</v>
      </c>
    </row>
    <row r="8" spans="1:12" x14ac:dyDescent="0.3">
      <c r="A8" s="5" t="s">
        <v>98</v>
      </c>
      <c r="B8" s="5" t="s">
        <v>17</v>
      </c>
      <c r="C8" s="5">
        <v>3.91</v>
      </c>
      <c r="I8" s="5" t="s">
        <v>98</v>
      </c>
      <c r="J8" s="5" t="s">
        <v>17</v>
      </c>
      <c r="K8" s="5">
        <v>3.91</v>
      </c>
    </row>
    <row r="9" spans="1:12" x14ac:dyDescent="0.3">
      <c r="A9" s="5" t="s">
        <v>96</v>
      </c>
      <c r="B9" s="5" t="s">
        <v>18</v>
      </c>
      <c r="C9" s="5">
        <v>4.1500000000000004</v>
      </c>
      <c r="I9" s="5" t="s">
        <v>96</v>
      </c>
      <c r="J9" s="5" t="s">
        <v>18</v>
      </c>
      <c r="K9" s="5">
        <v>4.1500000000000004</v>
      </c>
    </row>
    <row r="10" spans="1:12" x14ac:dyDescent="0.3">
      <c r="A10" s="5" t="s">
        <v>97</v>
      </c>
      <c r="B10" s="5" t="s">
        <v>100</v>
      </c>
      <c r="C10" s="5">
        <v>3.52</v>
      </c>
      <c r="I10" s="5" t="s">
        <v>97</v>
      </c>
      <c r="J10" s="5" t="s">
        <v>100</v>
      </c>
      <c r="K10" s="5">
        <v>3.52</v>
      </c>
    </row>
    <row r="11" spans="1:12" x14ac:dyDescent="0.3">
      <c r="A11" s="40" t="s">
        <v>102</v>
      </c>
      <c r="B11" s="40"/>
      <c r="C11" s="32">
        <f>SUMIF(A3:A10,"컴퓨터학과",C3:C10)</f>
        <v>11.49</v>
      </c>
      <c r="E11" s="1"/>
      <c r="I11" s="41" t="s">
        <v>104</v>
      </c>
      <c r="J11" s="42"/>
      <c r="K11" s="33">
        <f>SUMIFS(K3:K10,I3:I10,"컴퓨터학과",K3:K10,"&gt;=3.5")</f>
        <v>8.0400000000000009</v>
      </c>
      <c r="L11" s="34" t="s">
        <v>105</v>
      </c>
    </row>
    <row r="12" spans="1:12" ht="82.5" x14ac:dyDescent="0.3">
      <c r="A12" s="43" t="s">
        <v>103</v>
      </c>
      <c r="B12" s="43"/>
      <c r="C12">
        <f>AVERAGEIF(A3:A10,"컴퓨터학과",C3:C10)</f>
        <v>3.83</v>
      </c>
      <c r="I12" s="36" t="s">
        <v>107</v>
      </c>
      <c r="L12" s="35" t="s">
        <v>106</v>
      </c>
    </row>
  </sheetData>
  <mergeCells count="3">
    <mergeCell ref="A11:B11"/>
    <mergeCell ref="I11:J11"/>
    <mergeCell ref="A12:B1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04099-46D3-47E1-8D02-24DDEB269C08}">
  <dimension ref="A1:J15"/>
  <sheetViews>
    <sheetView zoomScale="160" zoomScaleNormal="160" workbookViewId="0">
      <selection activeCell="G11" sqref="G11"/>
    </sheetView>
  </sheetViews>
  <sheetFormatPr defaultRowHeight="16.5" x14ac:dyDescent="0.3"/>
  <cols>
    <col min="1" max="1" width="16.375" customWidth="1"/>
    <col min="2" max="2" width="12.875" customWidth="1"/>
    <col min="3" max="3" width="11.125" bestFit="1" customWidth="1"/>
    <col min="9" max="9" width="12.75" bestFit="1" customWidth="1"/>
  </cols>
  <sheetData>
    <row r="1" spans="1:10" x14ac:dyDescent="0.3">
      <c r="A1" s="1" t="s">
        <v>19</v>
      </c>
      <c r="B1" s="3"/>
      <c r="C1" s="3"/>
      <c r="D1" s="3"/>
      <c r="H1" s="1"/>
    </row>
    <row r="2" spans="1:10" x14ac:dyDescent="0.3">
      <c r="A2" s="5" t="s">
        <v>4</v>
      </c>
      <c r="B2" s="5" t="s">
        <v>37</v>
      </c>
      <c r="C2" s="5" t="s">
        <v>95</v>
      </c>
      <c r="D2" s="38" t="s">
        <v>116</v>
      </c>
      <c r="E2" s="38" t="s">
        <v>117</v>
      </c>
      <c r="H2" s="37" t="s">
        <v>108</v>
      </c>
      <c r="I2">
        <f>DSUM(A2:C10,3,A14:A15)</f>
        <v>10.7</v>
      </c>
    </row>
    <row r="3" spans="1:10" x14ac:dyDescent="0.3">
      <c r="A3" s="5" t="s">
        <v>96</v>
      </c>
      <c r="B3" s="5" t="s">
        <v>6</v>
      </c>
      <c r="C3" s="5">
        <v>3.45</v>
      </c>
      <c r="D3" s="1">
        <v>5</v>
      </c>
      <c r="H3" t="s">
        <v>109</v>
      </c>
      <c r="I3">
        <f>DAVERAGE(A2:C10,C2,A14:A15)</f>
        <v>3.5666666666666664</v>
      </c>
    </row>
    <row r="4" spans="1:10" x14ac:dyDescent="0.3">
      <c r="A4" s="5" t="s">
        <v>97</v>
      </c>
      <c r="B4" s="5" t="s">
        <v>9</v>
      </c>
      <c r="C4" s="5">
        <v>4.0199999999999996</v>
      </c>
      <c r="D4" s="1">
        <v>3</v>
      </c>
      <c r="E4" t="s">
        <v>118</v>
      </c>
      <c r="H4" t="s">
        <v>110</v>
      </c>
      <c r="I4">
        <f>DCOUNT(A2:E10,4,A14:A15)</f>
        <v>1</v>
      </c>
      <c r="J4" t="s">
        <v>121</v>
      </c>
    </row>
    <row r="5" spans="1:10" x14ac:dyDescent="0.3">
      <c r="A5" s="5" t="s">
        <v>98</v>
      </c>
      <c r="B5" s="5" t="s">
        <v>12</v>
      </c>
      <c r="C5" s="5">
        <v>3.67</v>
      </c>
      <c r="D5" s="1"/>
      <c r="H5" t="s">
        <v>111</v>
      </c>
      <c r="I5">
        <f>DCOUNTA(A2:E10,4,A14:A15)</f>
        <v>2</v>
      </c>
      <c r="J5" t="s">
        <v>122</v>
      </c>
    </row>
    <row r="6" spans="1:10" x14ac:dyDescent="0.3">
      <c r="A6" s="5" t="s">
        <v>96</v>
      </c>
      <c r="B6" s="5" t="s">
        <v>15</v>
      </c>
      <c r="C6" s="5">
        <v>3.89</v>
      </c>
      <c r="D6" s="1">
        <v>7</v>
      </c>
      <c r="H6" t="s">
        <v>112</v>
      </c>
      <c r="I6">
        <f>DMAX(A2:E10,3,A14:A15)</f>
        <v>3.91</v>
      </c>
    </row>
    <row r="7" spans="1:10" x14ac:dyDescent="0.3">
      <c r="A7" s="5" t="s">
        <v>98</v>
      </c>
      <c r="B7" s="5" t="s">
        <v>16</v>
      </c>
      <c r="C7" s="5">
        <v>3.12</v>
      </c>
      <c r="D7" s="39">
        <v>2</v>
      </c>
      <c r="E7" t="s">
        <v>119</v>
      </c>
      <c r="H7" t="s">
        <v>113</v>
      </c>
      <c r="I7">
        <f>DMIN(A2:E10,3,A14:A15)</f>
        <v>3.12</v>
      </c>
    </row>
    <row r="8" spans="1:10" x14ac:dyDescent="0.3">
      <c r="A8" s="5" t="s">
        <v>98</v>
      </c>
      <c r="B8" s="5" t="s">
        <v>17</v>
      </c>
      <c r="C8" s="5">
        <v>3.91</v>
      </c>
      <c r="D8" t="s">
        <v>120</v>
      </c>
      <c r="E8">
        <v>3</v>
      </c>
      <c r="H8" t="s">
        <v>114</v>
      </c>
      <c r="I8">
        <f>DSTDEV(A2:E10,3,A14:A15)</f>
        <v>0.40501028793517496</v>
      </c>
      <c r="J8" t="s">
        <v>123</v>
      </c>
    </row>
    <row r="9" spans="1:10" x14ac:dyDescent="0.3">
      <c r="A9" s="5" t="s">
        <v>96</v>
      </c>
      <c r="B9" s="5" t="s">
        <v>18</v>
      </c>
      <c r="C9" s="5">
        <v>4.1500000000000004</v>
      </c>
      <c r="D9">
        <v>9</v>
      </c>
      <c r="E9">
        <v>1234</v>
      </c>
      <c r="H9" t="s">
        <v>115</v>
      </c>
      <c r="I9">
        <f>DVAR(A2:E10,3,A14:A15)</f>
        <v>0.16403333333333334</v>
      </c>
      <c r="J9" t="s">
        <v>124</v>
      </c>
    </row>
    <row r="10" spans="1:10" x14ac:dyDescent="0.3">
      <c r="A10" s="5" t="s">
        <v>97</v>
      </c>
      <c r="B10" s="5" t="s">
        <v>100</v>
      </c>
      <c r="C10" s="5">
        <v>3.52</v>
      </c>
    </row>
    <row r="11" spans="1:10" x14ac:dyDescent="0.3">
      <c r="A11" s="40" t="s">
        <v>101</v>
      </c>
      <c r="B11" s="40"/>
      <c r="C11" s="32">
        <f>ROUNDUP(AVERAGE(DMAX(A2:C10,C2,A14:A15),DMAX(A2:C10,C2,A2:A3)),1)</f>
        <v>4.0999999999999996</v>
      </c>
      <c r="H11" s="1"/>
    </row>
    <row r="13" spans="1:10" x14ac:dyDescent="0.3">
      <c r="A13" s="17" t="s">
        <v>99</v>
      </c>
    </row>
    <row r="14" spans="1:10" x14ac:dyDescent="0.3">
      <c r="A14" s="5" t="s">
        <v>4</v>
      </c>
    </row>
    <row r="15" spans="1:10" x14ac:dyDescent="0.3">
      <c r="A15" s="5" t="s">
        <v>98</v>
      </c>
    </row>
  </sheetData>
  <mergeCells count="1">
    <mergeCell ref="A11:B11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7E271-95F5-4C7E-A01E-EA35F5C6C8C9}">
  <dimension ref="A1:E11"/>
  <sheetViews>
    <sheetView workbookViewId="0"/>
  </sheetViews>
  <sheetFormatPr defaultRowHeight="16.5" x14ac:dyDescent="0.3"/>
  <cols>
    <col min="1" max="1" width="7.125" bestFit="1" customWidth="1"/>
  </cols>
  <sheetData>
    <row r="1" spans="1:5" x14ac:dyDescent="0.3">
      <c r="A1" s="1" t="s">
        <v>19</v>
      </c>
      <c r="B1" s="3"/>
      <c r="C1" s="3"/>
      <c r="D1" s="3"/>
      <c r="E1" s="4"/>
    </row>
    <row r="2" spans="1:5" x14ac:dyDescent="0.3">
      <c r="A2" s="5" t="s">
        <v>37</v>
      </c>
      <c r="B2" s="5" t="s">
        <v>38</v>
      </c>
      <c r="C2" s="5" t="s">
        <v>39</v>
      </c>
      <c r="D2" s="5" t="s">
        <v>40</v>
      </c>
      <c r="E2" s="6" t="s">
        <v>41</v>
      </c>
    </row>
    <row r="3" spans="1:5" x14ac:dyDescent="0.3">
      <c r="A3" s="5" t="s">
        <v>42</v>
      </c>
      <c r="B3" s="13">
        <v>3.8</v>
      </c>
      <c r="C3" s="13">
        <v>2.5</v>
      </c>
      <c r="D3" s="13">
        <v>3.1</v>
      </c>
      <c r="E3" s="5" t="str">
        <f>CHOOSE(INT(AVERAGE(B3:D3)),"F","C","B","A")</f>
        <v>B</v>
      </c>
    </row>
    <row r="4" spans="1:5" x14ac:dyDescent="0.3">
      <c r="A4" s="5" t="s">
        <v>43</v>
      </c>
      <c r="B4" s="13">
        <v>4.0999999999999996</v>
      </c>
      <c r="C4" s="13">
        <v>3.5</v>
      </c>
      <c r="D4" s="13">
        <v>4.9000000000000004</v>
      </c>
      <c r="E4" s="5" t="str">
        <f t="shared" ref="E4:E11" si="0">CHOOSE(INT(AVERAGE(B4:D4)),"F","C","B","A")</f>
        <v>A</v>
      </c>
    </row>
    <row r="5" spans="1:5" x14ac:dyDescent="0.3">
      <c r="A5" s="5" t="s">
        <v>44</v>
      </c>
      <c r="B5" s="13">
        <v>3.4</v>
      </c>
      <c r="C5" s="13">
        <v>3.9</v>
      </c>
      <c r="D5" s="13">
        <v>2.5</v>
      </c>
      <c r="E5" s="5" t="str">
        <f t="shared" si="0"/>
        <v>B</v>
      </c>
    </row>
    <row r="6" spans="1:5" x14ac:dyDescent="0.3">
      <c r="A6" s="5" t="s">
        <v>45</v>
      </c>
      <c r="B6" s="13">
        <v>2.5</v>
      </c>
      <c r="C6" s="13">
        <v>2.9</v>
      </c>
      <c r="D6" s="13">
        <v>2.1</v>
      </c>
      <c r="E6" s="5" t="str">
        <f t="shared" si="0"/>
        <v>C</v>
      </c>
    </row>
    <row r="7" spans="1:5" x14ac:dyDescent="0.3">
      <c r="A7" s="5" t="s">
        <v>46</v>
      </c>
      <c r="B7" s="13">
        <v>1.9</v>
      </c>
      <c r="C7" s="13">
        <v>2.4</v>
      </c>
      <c r="D7" s="13">
        <v>0.5</v>
      </c>
      <c r="E7" s="5" t="str">
        <f t="shared" si="0"/>
        <v>F</v>
      </c>
    </row>
    <row r="8" spans="1:5" x14ac:dyDescent="0.3">
      <c r="A8" s="5" t="s">
        <v>47</v>
      </c>
      <c r="B8" s="13">
        <v>4.5</v>
      </c>
      <c r="C8" s="13">
        <v>4.0999999999999996</v>
      </c>
      <c r="D8" s="13">
        <v>4.5</v>
      </c>
      <c r="E8" s="5" t="str">
        <f t="shared" si="0"/>
        <v>A</v>
      </c>
    </row>
    <row r="9" spans="1:5" x14ac:dyDescent="0.3">
      <c r="A9" s="10" t="s">
        <v>48</v>
      </c>
      <c r="B9" s="14">
        <v>2.7</v>
      </c>
      <c r="C9" s="14">
        <v>2.5</v>
      </c>
      <c r="D9" s="14">
        <v>1.5</v>
      </c>
      <c r="E9" s="5" t="str">
        <f t="shared" si="0"/>
        <v>C</v>
      </c>
    </row>
    <row r="10" spans="1:5" x14ac:dyDescent="0.3">
      <c r="A10" s="10" t="s">
        <v>49</v>
      </c>
      <c r="B10" s="14">
        <v>1.8</v>
      </c>
      <c r="C10" s="14">
        <v>1.4</v>
      </c>
      <c r="D10" s="14">
        <v>1.5</v>
      </c>
      <c r="E10" s="5" t="str">
        <f t="shared" si="0"/>
        <v>F</v>
      </c>
    </row>
    <row r="11" spans="1:5" x14ac:dyDescent="0.3">
      <c r="A11" s="10" t="s">
        <v>50</v>
      </c>
      <c r="B11" s="14">
        <v>2.5</v>
      </c>
      <c r="C11" s="14">
        <v>2.5</v>
      </c>
      <c r="D11" s="14">
        <v>1.8</v>
      </c>
      <c r="E11" s="5" t="str">
        <f t="shared" si="0"/>
        <v>C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23A78-61E6-4868-9C96-F83A7CAFF4BC}">
  <dimension ref="A1:J10"/>
  <sheetViews>
    <sheetView zoomScale="190" zoomScaleNormal="190" workbookViewId="0">
      <selection activeCell="J3" sqref="J3"/>
    </sheetView>
  </sheetViews>
  <sheetFormatPr defaultRowHeight="16.5" x14ac:dyDescent="0.3"/>
  <cols>
    <col min="10" max="10" width="10.5" bestFit="1" customWidth="1"/>
  </cols>
  <sheetData>
    <row r="1" spans="1:10" x14ac:dyDescent="0.3">
      <c r="A1" t="s">
        <v>19</v>
      </c>
    </row>
    <row r="2" spans="1:10" x14ac:dyDescent="0.3">
      <c r="A2" s="10" t="s">
        <v>82</v>
      </c>
      <c r="B2" s="10" t="s">
        <v>81</v>
      </c>
      <c r="C2" s="6" t="s">
        <v>41</v>
      </c>
      <c r="E2" t="s">
        <v>56</v>
      </c>
      <c r="F2" t="s">
        <v>127</v>
      </c>
      <c r="G2" t="s">
        <v>128</v>
      </c>
      <c r="I2" t="s">
        <v>124</v>
      </c>
      <c r="J2" t="s">
        <v>123</v>
      </c>
    </row>
    <row r="3" spans="1:10" x14ac:dyDescent="0.3">
      <c r="A3" s="10" t="s">
        <v>76</v>
      </c>
      <c r="B3" s="29">
        <v>585</v>
      </c>
      <c r="C3" s="7" t="str">
        <f>CHOOSE(_xlfn.RANK.EQ(B3,$B$3:$B$7,0),"100%","90%","80%","","")</f>
        <v/>
      </c>
      <c r="E3">
        <f>_xlfn.RANK.EQ(B3,$B$3:$B$7)</f>
        <v>4</v>
      </c>
      <c r="F3">
        <f>_xlfn.RANK.EQ(B3,$B$3:$B$7,0)</f>
        <v>4</v>
      </c>
      <c r="G3">
        <f>_xlfn.RANK.EQ(B3,$B$3:$B$7,1)</f>
        <v>2</v>
      </c>
      <c r="I3">
        <f>_xlfn.VAR.S(B3:B7)</f>
        <v>13952.699999999953</v>
      </c>
      <c r="J3">
        <f>_xlfn.STDEV.S(B3:B7)</f>
        <v>118.12154756859543</v>
      </c>
    </row>
    <row r="4" spans="1:10" x14ac:dyDescent="0.3">
      <c r="A4" s="10" t="s">
        <v>77</v>
      </c>
      <c r="B4" s="29">
        <v>594</v>
      </c>
      <c r="C4" s="7" t="str">
        <f t="shared" ref="C4:C7" si="0">CHOOSE(_xlfn.RANK.EQ(B4,$B$3:$B$7,0),"100%","90%","80%","","")</f>
        <v>80%</v>
      </c>
      <c r="E4">
        <f t="shared" ref="E4:E7" si="1">_xlfn.RANK.EQ(B4,$B$3:$B$7)</f>
        <v>3</v>
      </c>
      <c r="F4">
        <f t="shared" ref="F4:F7" si="2">_xlfn.RANK.EQ(B4,$B$3:$B$7,0)</f>
        <v>3</v>
      </c>
      <c r="G4">
        <f t="shared" ref="G4:G7" si="3">_xlfn.RANK.EQ(B4,$B$3:$B$7,1)</f>
        <v>3</v>
      </c>
    </row>
    <row r="5" spans="1:10" x14ac:dyDescent="0.3">
      <c r="A5" s="10" t="s">
        <v>78</v>
      </c>
      <c r="B5" s="29">
        <v>696</v>
      </c>
      <c r="C5" s="7" t="str">
        <f t="shared" si="0"/>
        <v>90%</v>
      </c>
      <c r="E5">
        <f t="shared" si="1"/>
        <v>2</v>
      </c>
      <c r="F5">
        <f t="shared" si="2"/>
        <v>2</v>
      </c>
      <c r="G5">
        <f t="shared" si="3"/>
        <v>4</v>
      </c>
    </row>
    <row r="6" spans="1:10" x14ac:dyDescent="0.3">
      <c r="A6" s="10" t="s">
        <v>79</v>
      </c>
      <c r="B6" s="29">
        <v>857</v>
      </c>
      <c r="C6" s="7" t="str">
        <f t="shared" si="0"/>
        <v>100%</v>
      </c>
      <c r="E6">
        <f t="shared" si="1"/>
        <v>1</v>
      </c>
      <c r="F6">
        <f t="shared" si="2"/>
        <v>1</v>
      </c>
      <c r="G6">
        <f t="shared" si="3"/>
        <v>5</v>
      </c>
    </row>
    <row r="7" spans="1:10" x14ac:dyDescent="0.3">
      <c r="A7" s="10" t="s">
        <v>80</v>
      </c>
      <c r="B7" s="29">
        <v>584</v>
      </c>
      <c r="C7" s="7" t="str">
        <f t="shared" si="0"/>
        <v/>
      </c>
      <c r="E7">
        <f t="shared" si="1"/>
        <v>5</v>
      </c>
      <c r="F7">
        <f t="shared" si="2"/>
        <v>5</v>
      </c>
      <c r="G7">
        <f t="shared" si="3"/>
        <v>1</v>
      </c>
    </row>
    <row r="9" spans="1:10" x14ac:dyDescent="0.3">
      <c r="E9" s="34" t="s">
        <v>125</v>
      </c>
    </row>
    <row r="10" spans="1:10" x14ac:dyDescent="0.3">
      <c r="E10" s="34" t="s">
        <v>126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72FB1-5367-45A5-B90B-0DD552E90D34}">
  <dimension ref="A1:C12"/>
  <sheetViews>
    <sheetView workbookViewId="0"/>
  </sheetViews>
  <sheetFormatPr defaultRowHeight="16.5" x14ac:dyDescent="0.3"/>
  <cols>
    <col min="1" max="1" width="9.75" customWidth="1"/>
  </cols>
  <sheetData>
    <row r="1" spans="1:3" x14ac:dyDescent="0.3">
      <c r="A1" s="1" t="s">
        <v>19</v>
      </c>
      <c r="B1" s="2"/>
      <c r="C1" s="1"/>
    </row>
    <row r="2" spans="1:3" x14ac:dyDescent="0.3">
      <c r="A2" s="10" t="s">
        <v>21</v>
      </c>
      <c r="B2" s="10" t="s">
        <v>23</v>
      </c>
    </row>
    <row r="3" spans="1:3" x14ac:dyDescent="0.3">
      <c r="A3" s="10" t="s">
        <v>25</v>
      </c>
      <c r="B3" s="11">
        <v>4</v>
      </c>
    </row>
    <row r="4" spans="1:3" x14ac:dyDescent="0.3">
      <c r="A4" s="10" t="s">
        <v>27</v>
      </c>
      <c r="B4" s="11">
        <v>9</v>
      </c>
    </row>
    <row r="5" spans="1:3" x14ac:dyDescent="0.3">
      <c r="A5" s="10" t="s">
        <v>29</v>
      </c>
      <c r="B5" s="11">
        <v>5</v>
      </c>
    </row>
    <row r="6" spans="1:3" x14ac:dyDescent="0.3">
      <c r="A6" s="10" t="s">
        <v>30</v>
      </c>
      <c r="B6" s="11">
        <v>1</v>
      </c>
    </row>
    <row r="7" spans="1:3" x14ac:dyDescent="0.3">
      <c r="A7" s="10" t="s">
        <v>31</v>
      </c>
      <c r="B7" s="11">
        <v>4</v>
      </c>
    </row>
    <row r="8" spans="1:3" x14ac:dyDescent="0.3">
      <c r="A8" s="10" t="s">
        <v>83</v>
      </c>
      <c r="B8" s="11">
        <v>5</v>
      </c>
    </row>
    <row r="9" spans="1:3" x14ac:dyDescent="0.3">
      <c r="A9" s="10" t="s">
        <v>33</v>
      </c>
      <c r="B9" s="11">
        <v>9</v>
      </c>
    </row>
    <row r="10" spans="1:3" x14ac:dyDescent="0.3">
      <c r="A10" s="10" t="s">
        <v>34</v>
      </c>
      <c r="B10" s="11">
        <v>4</v>
      </c>
    </row>
    <row r="11" spans="1:3" x14ac:dyDescent="0.3">
      <c r="A11" s="10" t="s">
        <v>35</v>
      </c>
      <c r="B11" s="11">
        <v>7</v>
      </c>
    </row>
    <row r="12" spans="1:3" x14ac:dyDescent="0.3">
      <c r="A12" s="44" t="s">
        <v>84</v>
      </c>
      <c r="B12" s="45"/>
      <c r="C12" s="12" t="str">
        <f>COUNTIF(B3:B11,_xlfn.MODE.SNGL(B3:B11))&amp;"명"</f>
        <v>3명</v>
      </c>
    </row>
  </sheetData>
  <mergeCells count="1">
    <mergeCell ref="A12:B12"/>
  </mergeCells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ED5AE-503F-4552-B82C-728C1A0416AC}">
  <dimension ref="A1:S46"/>
  <sheetViews>
    <sheetView tabSelected="1" topLeftCell="P13" zoomScale="190" zoomScaleNormal="190" workbookViewId="0">
      <selection activeCell="R20" sqref="R20"/>
    </sheetView>
  </sheetViews>
  <sheetFormatPr defaultRowHeight="16.5" x14ac:dyDescent="0.3"/>
  <cols>
    <col min="3" max="4" width="10.875" bestFit="1" customWidth="1"/>
    <col min="7" max="7" width="10.875" bestFit="1" customWidth="1"/>
    <col min="8" max="8" width="11.875" bestFit="1" customWidth="1"/>
    <col min="18" max="18" width="24" bestFit="1" customWidth="1"/>
  </cols>
  <sheetData>
    <row r="1" spans="1:17" x14ac:dyDescent="0.3">
      <c r="A1" s="1" t="s">
        <v>19</v>
      </c>
      <c r="B1" s="3"/>
      <c r="C1" s="3"/>
      <c r="D1" s="4"/>
      <c r="E1" s="3"/>
      <c r="F1" s="3"/>
      <c r="G1" s="3"/>
      <c r="H1" s="3"/>
      <c r="O1" t="s">
        <v>147</v>
      </c>
    </row>
    <row r="2" spans="1:17" x14ac:dyDescent="0.3">
      <c r="A2" s="5" t="s">
        <v>37</v>
      </c>
      <c r="B2" s="5" t="s">
        <v>51</v>
      </c>
      <c r="C2" s="5" t="s">
        <v>52</v>
      </c>
      <c r="D2" s="6" t="s">
        <v>53</v>
      </c>
      <c r="E2" s="38" t="s">
        <v>177</v>
      </c>
      <c r="F2" s="38" t="s">
        <v>178</v>
      </c>
      <c r="G2" s="38" t="s">
        <v>179</v>
      </c>
      <c r="H2" s="38" t="s">
        <v>180</v>
      </c>
      <c r="K2" t="s">
        <v>129</v>
      </c>
      <c r="L2" t="s">
        <v>136</v>
      </c>
      <c r="M2">
        <v>3</v>
      </c>
      <c r="O2" t="e">
        <f>VLOOKUP(O1,K2:M9,3,0)</f>
        <v>#N/A</v>
      </c>
    </row>
    <row r="3" spans="1:17" x14ac:dyDescent="0.3">
      <c r="A3" s="5" t="s">
        <v>42</v>
      </c>
      <c r="B3" s="13">
        <v>3.5</v>
      </c>
      <c r="C3" s="15">
        <v>3587000</v>
      </c>
      <c r="D3" s="16">
        <f>C3*(1-HLOOKUP(_xlfn.RANK.EQ(B3,$B$3:$B$9),$B$12:$E$13,2))</f>
        <v>1793500</v>
      </c>
      <c r="E3" s="1">
        <f>_xlfn.RANK.EQ(B3,$B$3:$B$9)</f>
        <v>5</v>
      </c>
      <c r="F3" s="50">
        <f>HLOOKUP(E3,$B$12:$E$13,2,1)</f>
        <v>0.5</v>
      </c>
      <c r="G3" s="51">
        <f>C3*(1-F3)</f>
        <v>1793500</v>
      </c>
      <c r="H3" s="51">
        <f>C3*(1-HLOOKUP(_xlfn.RANK.EQ(B3,$B$3:$B$9),$B$12:$E$13,2,1))</f>
        <v>1793500</v>
      </c>
      <c r="K3" t="s">
        <v>130</v>
      </c>
      <c r="L3" t="s">
        <v>136</v>
      </c>
      <c r="M3">
        <v>3</v>
      </c>
      <c r="O3" s="34" t="s">
        <v>143</v>
      </c>
    </row>
    <row r="4" spans="1:17" x14ac:dyDescent="0.3">
      <c r="A4" s="5" t="s">
        <v>43</v>
      </c>
      <c r="B4" s="13">
        <v>4.5</v>
      </c>
      <c r="C4" s="15">
        <v>3780000</v>
      </c>
      <c r="D4" s="16">
        <f t="shared" ref="D4:D9" si="0">C4*(1-HLOOKUP(_xlfn.RANK.EQ(B4,$B$3:$B$9),$B$12:$E$13,2))</f>
        <v>0</v>
      </c>
      <c r="E4" s="1">
        <f t="shared" ref="E4:E9" si="1">_xlfn.RANK.EQ(B4,$B$3:$B$9)</f>
        <v>1</v>
      </c>
      <c r="F4" s="50">
        <f t="shared" ref="F4:F9" si="2">HLOOKUP(E4,$B$12:$E$13,2,1)</f>
        <v>1</v>
      </c>
      <c r="G4" s="51">
        <f t="shared" ref="G4:G9" si="3">C4*(1-F4)</f>
        <v>0</v>
      </c>
      <c r="H4" s="51">
        <f t="shared" ref="H4:H9" si="4">C4*(1-HLOOKUP(_xlfn.RANK.EQ(B4,$B$3:$B$9),$B$12:$E$13,2,1))</f>
        <v>0</v>
      </c>
      <c r="K4" t="s">
        <v>131</v>
      </c>
      <c r="L4" t="s">
        <v>137</v>
      </c>
      <c r="M4">
        <v>2</v>
      </c>
      <c r="O4" t="s">
        <v>148</v>
      </c>
    </row>
    <row r="5" spans="1:17" x14ac:dyDescent="0.3">
      <c r="A5" s="5" t="s">
        <v>44</v>
      </c>
      <c r="B5" s="13">
        <v>4.4000000000000004</v>
      </c>
      <c r="C5" s="15">
        <v>3687000</v>
      </c>
      <c r="D5" s="16">
        <f t="shared" si="0"/>
        <v>1106100.0000000002</v>
      </c>
      <c r="E5" s="1">
        <f t="shared" si="1"/>
        <v>2</v>
      </c>
      <c r="F5" s="50">
        <f t="shared" si="2"/>
        <v>0.7</v>
      </c>
      <c r="G5" s="51">
        <f t="shared" si="3"/>
        <v>1106100.0000000002</v>
      </c>
      <c r="H5" s="51">
        <f t="shared" si="4"/>
        <v>1106100.0000000002</v>
      </c>
      <c r="K5" t="s">
        <v>132</v>
      </c>
      <c r="L5" t="s">
        <v>136</v>
      </c>
      <c r="M5">
        <v>5</v>
      </c>
      <c r="O5" t="s">
        <v>144</v>
      </c>
    </row>
    <row r="6" spans="1:17" x14ac:dyDescent="0.3">
      <c r="A6" s="5" t="s">
        <v>45</v>
      </c>
      <c r="B6" s="13">
        <v>4.2</v>
      </c>
      <c r="C6" s="15">
        <v>3425000</v>
      </c>
      <c r="D6" s="16">
        <f t="shared" si="0"/>
        <v>1027500.0000000001</v>
      </c>
      <c r="E6" s="1">
        <f t="shared" si="1"/>
        <v>3</v>
      </c>
      <c r="F6" s="50">
        <f t="shared" si="2"/>
        <v>0.7</v>
      </c>
      <c r="G6" s="51">
        <f t="shared" si="3"/>
        <v>1027500.0000000001</v>
      </c>
      <c r="H6" s="51">
        <f t="shared" si="4"/>
        <v>1027500.0000000001</v>
      </c>
      <c r="K6" t="s">
        <v>133</v>
      </c>
      <c r="L6" t="s">
        <v>138</v>
      </c>
      <c r="M6">
        <v>4</v>
      </c>
      <c r="O6" t="s">
        <v>145</v>
      </c>
    </row>
    <row r="7" spans="1:17" x14ac:dyDescent="0.3">
      <c r="A7" s="5" t="s">
        <v>46</v>
      </c>
      <c r="B7" s="13">
        <v>3.9</v>
      </c>
      <c r="C7" s="15">
        <v>3985000</v>
      </c>
      <c r="D7" s="16">
        <f t="shared" si="0"/>
        <v>1992500</v>
      </c>
      <c r="E7" s="1">
        <f t="shared" si="1"/>
        <v>4</v>
      </c>
      <c r="F7" s="50">
        <f t="shared" si="2"/>
        <v>0.5</v>
      </c>
      <c r="G7" s="51">
        <f t="shared" si="3"/>
        <v>1992500</v>
      </c>
      <c r="H7" s="51">
        <f t="shared" si="4"/>
        <v>1992500</v>
      </c>
      <c r="K7" t="s">
        <v>134</v>
      </c>
      <c r="L7" t="s">
        <v>139</v>
      </c>
      <c r="M7">
        <v>4</v>
      </c>
      <c r="O7" t="s">
        <v>146</v>
      </c>
    </row>
    <row r="8" spans="1:17" x14ac:dyDescent="0.3">
      <c r="A8" s="5" t="s">
        <v>54</v>
      </c>
      <c r="B8" s="13">
        <v>2.1</v>
      </c>
      <c r="C8" s="15">
        <v>2987400</v>
      </c>
      <c r="D8" s="16">
        <f t="shared" si="0"/>
        <v>2987400</v>
      </c>
      <c r="E8" s="1">
        <f t="shared" si="1"/>
        <v>7</v>
      </c>
      <c r="F8" s="50">
        <f t="shared" si="2"/>
        <v>0</v>
      </c>
      <c r="G8" s="51">
        <f t="shared" si="3"/>
        <v>2987400</v>
      </c>
      <c r="H8" s="51">
        <f t="shared" si="4"/>
        <v>2987400</v>
      </c>
      <c r="K8" t="s">
        <v>135</v>
      </c>
      <c r="L8" t="s">
        <v>140</v>
      </c>
      <c r="M8">
        <v>3</v>
      </c>
    </row>
    <row r="9" spans="1:17" x14ac:dyDescent="0.3">
      <c r="A9" s="5" t="s">
        <v>47</v>
      </c>
      <c r="B9" s="13">
        <v>2.5</v>
      </c>
      <c r="C9" s="15">
        <v>3157000</v>
      </c>
      <c r="D9" s="16">
        <f t="shared" si="0"/>
        <v>3157000</v>
      </c>
      <c r="E9" s="1">
        <f t="shared" si="1"/>
        <v>6</v>
      </c>
      <c r="F9" s="50">
        <f t="shared" si="2"/>
        <v>0</v>
      </c>
      <c r="G9" s="51">
        <f t="shared" si="3"/>
        <v>3157000</v>
      </c>
      <c r="H9" s="51">
        <f t="shared" si="4"/>
        <v>3157000</v>
      </c>
      <c r="K9" t="s">
        <v>141</v>
      </c>
      <c r="L9" t="s">
        <v>142</v>
      </c>
      <c r="M9">
        <v>1</v>
      </c>
    </row>
    <row r="10" spans="1:17" x14ac:dyDescent="0.3">
      <c r="A10" s="17"/>
      <c r="B10" s="17"/>
      <c r="C10" s="18"/>
      <c r="D10" s="17"/>
      <c r="E10" s="1"/>
      <c r="F10" s="1"/>
      <c r="G10" s="1"/>
      <c r="H10" s="1"/>
    </row>
    <row r="11" spans="1:17" x14ac:dyDescent="0.3">
      <c r="A11" s="19" t="s">
        <v>55</v>
      </c>
      <c r="B11" s="19"/>
      <c r="C11" s="19"/>
      <c r="D11" s="19"/>
      <c r="E11" s="19"/>
      <c r="F11" s="47"/>
      <c r="G11" s="47"/>
      <c r="H11" s="47"/>
      <c r="O11">
        <v>59</v>
      </c>
    </row>
    <row r="12" spans="1:17" x14ac:dyDescent="0.3">
      <c r="A12" s="20" t="s">
        <v>56</v>
      </c>
      <c r="B12" s="21">
        <v>1</v>
      </c>
      <c r="C12" s="5">
        <v>2</v>
      </c>
      <c r="D12" s="5">
        <v>4</v>
      </c>
      <c r="E12" s="5">
        <v>6</v>
      </c>
      <c r="F12" s="48"/>
      <c r="G12" s="48"/>
      <c r="H12" s="48"/>
      <c r="J12">
        <v>80</v>
      </c>
      <c r="K12" s="46">
        <v>0</v>
      </c>
      <c r="L12" t="s">
        <v>153</v>
      </c>
      <c r="M12" t="s">
        <v>158</v>
      </c>
      <c r="O12" t="e">
        <f>VLOOKUP(O11,K12:M16,3,0)</f>
        <v>#N/A</v>
      </c>
      <c r="P12" t="s">
        <v>159</v>
      </c>
    </row>
    <row r="13" spans="1:17" x14ac:dyDescent="0.3">
      <c r="A13" s="5" t="s">
        <v>57</v>
      </c>
      <c r="B13" s="22">
        <v>1</v>
      </c>
      <c r="C13" s="22">
        <v>0.7</v>
      </c>
      <c r="D13" s="22">
        <v>0.5</v>
      </c>
      <c r="E13" s="23">
        <v>0</v>
      </c>
      <c r="F13" s="49"/>
      <c r="G13" s="49"/>
      <c r="H13" s="49"/>
      <c r="J13">
        <v>60</v>
      </c>
      <c r="K13">
        <v>20</v>
      </c>
      <c r="L13" t="s">
        <v>152</v>
      </c>
      <c r="M13" t="s">
        <v>157</v>
      </c>
      <c r="O13" t="str">
        <f>VLOOKUP(O11,K12:M16,3,1)</f>
        <v>양호</v>
      </c>
      <c r="P13" t="s">
        <v>160</v>
      </c>
    </row>
    <row r="14" spans="1:17" x14ac:dyDescent="0.3">
      <c r="J14">
        <v>40</v>
      </c>
      <c r="K14">
        <v>40</v>
      </c>
      <c r="L14" t="s">
        <v>151</v>
      </c>
      <c r="M14" t="s">
        <v>156</v>
      </c>
      <c r="P14" t="s">
        <v>161</v>
      </c>
    </row>
    <row r="15" spans="1:17" x14ac:dyDescent="0.3">
      <c r="J15">
        <v>20</v>
      </c>
      <c r="K15">
        <v>60</v>
      </c>
      <c r="L15" t="s">
        <v>150</v>
      </c>
      <c r="M15" t="s">
        <v>155</v>
      </c>
    </row>
    <row r="16" spans="1:17" x14ac:dyDescent="0.3">
      <c r="J16">
        <v>0</v>
      </c>
      <c r="K16">
        <v>80</v>
      </c>
      <c r="L16" t="s">
        <v>149</v>
      </c>
      <c r="M16" t="s">
        <v>154</v>
      </c>
      <c r="Q16" t="s">
        <v>211</v>
      </c>
    </row>
    <row r="17" spans="8:19" x14ac:dyDescent="0.3">
      <c r="Q17" t="e">
        <f>MATCH(O11,K12:K16,0)</f>
        <v>#N/A</v>
      </c>
      <c r="R17" s="34" t="s">
        <v>215</v>
      </c>
      <c r="S17" t="s">
        <v>212</v>
      </c>
    </row>
    <row r="18" spans="8:19" x14ac:dyDescent="0.3">
      <c r="Q18">
        <f>MATCH(O11,K12:K16,1)</f>
        <v>3</v>
      </c>
      <c r="R18" s="34" t="s">
        <v>216</v>
      </c>
      <c r="S18" s="52" t="s">
        <v>213</v>
      </c>
    </row>
    <row r="19" spans="8:19" x14ac:dyDescent="0.3">
      <c r="Q19">
        <f>MATCH(O11,J12:J16,-1)</f>
        <v>2</v>
      </c>
      <c r="R19" s="34" t="s">
        <v>217</v>
      </c>
      <c r="S19" s="34" t="s">
        <v>214</v>
      </c>
    </row>
    <row r="20" spans="8:19" x14ac:dyDescent="0.3">
      <c r="K20" t="s">
        <v>162</v>
      </c>
      <c r="L20" t="s">
        <v>164</v>
      </c>
      <c r="M20" t="s">
        <v>166</v>
      </c>
      <c r="N20" t="s">
        <v>168</v>
      </c>
      <c r="O20" t="s">
        <v>170</v>
      </c>
    </row>
    <row r="21" spans="8:19" x14ac:dyDescent="0.3">
      <c r="K21" t="s">
        <v>163</v>
      </c>
      <c r="L21" t="s">
        <v>165</v>
      </c>
      <c r="M21" t="s">
        <v>167</v>
      </c>
      <c r="N21" t="s">
        <v>169</v>
      </c>
      <c r="O21" t="s">
        <v>171</v>
      </c>
    </row>
    <row r="22" spans="8:19" x14ac:dyDescent="0.3">
      <c r="K22" t="s">
        <v>172</v>
      </c>
      <c r="L22" t="s">
        <v>173</v>
      </c>
      <c r="M22" t="s">
        <v>174</v>
      </c>
      <c r="N22" t="s">
        <v>175</v>
      </c>
      <c r="O22" t="s">
        <v>176</v>
      </c>
    </row>
    <row r="24" spans="8:19" x14ac:dyDescent="0.3">
      <c r="K24" t="s">
        <v>168</v>
      </c>
      <c r="L24">
        <v>3</v>
      </c>
      <c r="P24">
        <f>MATCH(K24,K20:O20,0)</f>
        <v>4</v>
      </c>
      <c r="Q24" s="34" t="s">
        <v>206</v>
      </c>
    </row>
    <row r="25" spans="8:19" x14ac:dyDescent="0.3">
      <c r="K25" t="str">
        <f>HLOOKUP(K24,K20:O22,L24,0)</f>
        <v>감자</v>
      </c>
      <c r="Q25" t="s">
        <v>207</v>
      </c>
    </row>
    <row r="26" spans="8:19" x14ac:dyDescent="0.3">
      <c r="Q26" t="s">
        <v>208</v>
      </c>
    </row>
    <row r="27" spans="8:19" x14ac:dyDescent="0.3">
      <c r="Q27" t="s">
        <v>209</v>
      </c>
    </row>
    <row r="28" spans="8:19" x14ac:dyDescent="0.3">
      <c r="Q28" t="s">
        <v>210</v>
      </c>
    </row>
    <row r="30" spans="8:19" x14ac:dyDescent="0.3">
      <c r="H30" t="str">
        <f>CHOOSE(3,"일","월","화","수","목","금","토")</f>
        <v>화</v>
      </c>
      <c r="I30" s="34" t="s">
        <v>181</v>
      </c>
    </row>
    <row r="31" spans="8:19" x14ac:dyDescent="0.3">
      <c r="I31" t="s">
        <v>182</v>
      </c>
    </row>
    <row r="32" spans="8:19" x14ac:dyDescent="0.3">
      <c r="I32" t="s">
        <v>183</v>
      </c>
    </row>
    <row r="33" spans="6:11" x14ac:dyDescent="0.3">
      <c r="I33" t="s">
        <v>184</v>
      </c>
    </row>
    <row r="34" spans="6:11" x14ac:dyDescent="0.3">
      <c r="I34" t="s">
        <v>185</v>
      </c>
    </row>
    <row r="36" spans="6:11" x14ac:dyDescent="0.3">
      <c r="F36" t="s">
        <v>186</v>
      </c>
      <c r="G36" t="s">
        <v>187</v>
      </c>
      <c r="H36" t="s">
        <v>188</v>
      </c>
      <c r="J36" t="str">
        <f>INDEX(F36:H39,3,2)</f>
        <v>또거스</v>
      </c>
    </row>
    <row r="37" spans="6:11" x14ac:dyDescent="0.3">
      <c r="F37" t="s">
        <v>189</v>
      </c>
      <c r="G37" t="s">
        <v>190</v>
      </c>
      <c r="H37" t="s">
        <v>191</v>
      </c>
      <c r="J37" s="34" t="s">
        <v>198</v>
      </c>
    </row>
    <row r="38" spans="6:11" x14ac:dyDescent="0.3">
      <c r="F38" t="s">
        <v>192</v>
      </c>
      <c r="G38" t="s">
        <v>193</v>
      </c>
      <c r="H38" t="s">
        <v>194</v>
      </c>
      <c r="J38" t="s">
        <v>199</v>
      </c>
    </row>
    <row r="39" spans="6:11" x14ac:dyDescent="0.3">
      <c r="F39" t="s">
        <v>195</v>
      </c>
      <c r="G39" t="s">
        <v>196</v>
      </c>
      <c r="H39" t="s">
        <v>197</v>
      </c>
      <c r="J39" t="s">
        <v>200</v>
      </c>
    </row>
    <row r="40" spans="6:11" x14ac:dyDescent="0.3">
      <c r="J40" t="s">
        <v>201</v>
      </c>
    </row>
    <row r="42" spans="6:11" x14ac:dyDescent="0.3">
      <c r="J42">
        <f>COLUMN(G36)</f>
        <v>7</v>
      </c>
      <c r="K42" s="34" t="s">
        <v>202</v>
      </c>
    </row>
    <row r="43" spans="6:11" x14ac:dyDescent="0.3">
      <c r="J43">
        <f>ROW(G36)</f>
        <v>36</v>
      </c>
      <c r="K43" s="34" t="s">
        <v>203</v>
      </c>
    </row>
    <row r="45" spans="6:11" x14ac:dyDescent="0.3">
      <c r="J45">
        <f>COLUMNS(F36:H39)</f>
        <v>3</v>
      </c>
      <c r="K45" s="34" t="s">
        <v>204</v>
      </c>
    </row>
    <row r="46" spans="6:11" x14ac:dyDescent="0.3">
      <c r="J46">
        <f>ROWS(F36:H39)</f>
        <v>4</v>
      </c>
      <c r="K46" s="34" t="s">
        <v>205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E6C13-B895-4561-81E1-327FB7355E3D}">
  <dimension ref="A1:D11"/>
  <sheetViews>
    <sheetView workbookViewId="0"/>
  </sheetViews>
  <sheetFormatPr defaultRowHeight="16.5" x14ac:dyDescent="0.3"/>
  <cols>
    <col min="1" max="1" width="15.125" customWidth="1"/>
    <col min="2" max="2" width="17.625" customWidth="1"/>
    <col min="3" max="4" width="10.875" bestFit="1" customWidth="1"/>
  </cols>
  <sheetData>
    <row r="1" spans="1:4" x14ac:dyDescent="0.3">
      <c r="A1" s="1" t="s">
        <v>19</v>
      </c>
      <c r="B1" s="2" t="s">
        <v>20</v>
      </c>
      <c r="C1" s="1"/>
      <c r="D1" s="1"/>
    </row>
    <row r="2" spans="1:4" x14ac:dyDescent="0.3">
      <c r="A2" s="10" t="s">
        <v>21</v>
      </c>
      <c r="B2" s="10" t="s">
        <v>22</v>
      </c>
      <c r="C2" s="10" t="s">
        <v>24</v>
      </c>
    </row>
    <row r="3" spans="1:4" x14ac:dyDescent="0.3">
      <c r="A3" s="10" t="s">
        <v>25</v>
      </c>
      <c r="B3" s="10" t="s">
        <v>26</v>
      </c>
      <c r="C3" s="11">
        <v>1208000</v>
      </c>
    </row>
    <row r="4" spans="1:4" x14ac:dyDescent="0.3">
      <c r="A4" s="10" t="s">
        <v>27</v>
      </c>
      <c r="B4" s="10" t="s">
        <v>28</v>
      </c>
      <c r="C4" s="11">
        <v>2214000</v>
      </c>
    </row>
    <row r="5" spans="1:4" x14ac:dyDescent="0.3">
      <c r="A5" s="10" t="s">
        <v>29</v>
      </c>
      <c r="B5" s="10" t="s">
        <v>26</v>
      </c>
      <c r="C5" s="11">
        <v>1425000</v>
      </c>
    </row>
    <row r="6" spans="1:4" x14ac:dyDescent="0.3">
      <c r="A6" s="10" t="s">
        <v>30</v>
      </c>
      <c r="B6" s="10" t="s">
        <v>26</v>
      </c>
      <c r="C6" s="11">
        <v>265000</v>
      </c>
    </row>
    <row r="7" spans="1:4" x14ac:dyDescent="0.3">
      <c r="A7" s="10" t="s">
        <v>31</v>
      </c>
      <c r="B7" s="10" t="s">
        <v>32</v>
      </c>
      <c r="C7" s="11">
        <v>1168000</v>
      </c>
    </row>
    <row r="8" spans="1:4" x14ac:dyDescent="0.3">
      <c r="A8" s="10" t="s">
        <v>33</v>
      </c>
      <c r="B8" s="10" t="s">
        <v>28</v>
      </c>
      <c r="C8" s="11">
        <v>2493000</v>
      </c>
    </row>
    <row r="9" spans="1:4" x14ac:dyDescent="0.3">
      <c r="A9" s="10" t="s">
        <v>34</v>
      </c>
      <c r="B9" s="10" t="s">
        <v>28</v>
      </c>
      <c r="C9" s="11">
        <v>1020000</v>
      </c>
    </row>
    <row r="10" spans="1:4" x14ac:dyDescent="0.3">
      <c r="A10" s="10" t="s">
        <v>35</v>
      </c>
      <c r="B10" s="10" t="s">
        <v>32</v>
      </c>
      <c r="C10" s="11">
        <v>1967000</v>
      </c>
    </row>
    <row r="11" spans="1:4" x14ac:dyDescent="0.3">
      <c r="A11" s="44" t="s">
        <v>36</v>
      </c>
      <c r="B11" s="45"/>
      <c r="C11" s="12" t="str">
        <f>INDEX(A3:A10,MATCH(DMAX(A2:C10,C2,B2:B3),C3:C10,0))</f>
        <v>이수학</v>
      </c>
    </row>
  </sheetData>
  <mergeCells count="1">
    <mergeCell ref="A11:B11"/>
  </mergeCells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F831-353B-4926-B05A-50F90A7CA864}">
  <dimension ref="A1:D8"/>
  <sheetViews>
    <sheetView topLeftCell="A16" workbookViewId="0"/>
  </sheetViews>
  <sheetFormatPr defaultRowHeight="16.5" x14ac:dyDescent="0.3"/>
  <sheetData>
    <row r="1" spans="1:4" x14ac:dyDescent="0.3">
      <c r="A1" s="1" t="s">
        <v>19</v>
      </c>
      <c r="B1" s="1"/>
      <c r="C1" s="1"/>
      <c r="D1" s="1"/>
    </row>
    <row r="2" spans="1:4" x14ac:dyDescent="0.3">
      <c r="A2" s="24" t="s">
        <v>58</v>
      </c>
      <c r="B2" s="7" t="s">
        <v>59</v>
      </c>
      <c r="C2" s="7" t="s">
        <v>60</v>
      </c>
      <c r="D2" s="6" t="s">
        <v>61</v>
      </c>
    </row>
    <row r="3" spans="1:4" x14ac:dyDescent="0.3">
      <c r="A3" s="24" t="s">
        <v>62</v>
      </c>
      <c r="B3" s="25">
        <v>0.39583333333333331</v>
      </c>
      <c r="C3" s="25">
        <v>0.52083333333333337</v>
      </c>
      <c r="D3" s="7" t="str">
        <f>IF(MINUTE(C3-B3)&gt;30,HOUR(C3-B3)+1,HOUR(C3-B3)) &amp; "시간"</f>
        <v>3시간</v>
      </c>
    </row>
    <row r="4" spans="1:4" x14ac:dyDescent="0.3">
      <c r="A4" s="24" t="s">
        <v>63</v>
      </c>
      <c r="B4" s="25">
        <v>0.4236111111111111</v>
      </c>
      <c r="C4" s="25">
        <v>0.76388888888888884</v>
      </c>
      <c r="D4" s="7" t="str">
        <f t="shared" ref="D4:D8" si="0">IF(MINUTE(C4-B4)&gt;30,HOUR(C4-B4)+1,HOUR(C4-B4)) &amp; "시간"</f>
        <v>8시간</v>
      </c>
    </row>
    <row r="5" spans="1:4" x14ac:dyDescent="0.3">
      <c r="A5" s="24" t="s">
        <v>64</v>
      </c>
      <c r="B5" s="25">
        <v>0.4375</v>
      </c>
      <c r="C5" s="25">
        <v>0.80763888888888891</v>
      </c>
      <c r="D5" s="7" t="str">
        <f t="shared" si="0"/>
        <v>9시간</v>
      </c>
    </row>
    <row r="6" spans="1:4" x14ac:dyDescent="0.3">
      <c r="A6" s="24" t="s">
        <v>65</v>
      </c>
      <c r="B6" s="25">
        <v>0.47222222222222227</v>
      </c>
      <c r="C6" s="25">
        <v>0.59722222222222221</v>
      </c>
      <c r="D6" s="7" t="str">
        <f t="shared" si="0"/>
        <v>3시간</v>
      </c>
    </row>
    <row r="7" spans="1:4" x14ac:dyDescent="0.3">
      <c r="A7" s="24" t="s">
        <v>66</v>
      </c>
      <c r="B7" s="25">
        <v>0.49305555555555558</v>
      </c>
      <c r="C7" s="25">
        <v>0.64583333333333337</v>
      </c>
      <c r="D7" s="7" t="str">
        <f t="shared" si="0"/>
        <v>4시간</v>
      </c>
    </row>
    <row r="8" spans="1:4" x14ac:dyDescent="0.3">
      <c r="A8" s="24" t="s">
        <v>67</v>
      </c>
      <c r="B8" s="25">
        <v>0.50347222222222221</v>
      </c>
      <c r="C8" s="25">
        <v>0.72430555555555554</v>
      </c>
      <c r="D8" s="7" t="str">
        <f t="shared" si="0"/>
        <v>5시간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032A4-13CF-4AFD-B94F-6E8A80EC37AD}">
  <dimension ref="A1:C7"/>
  <sheetViews>
    <sheetView workbookViewId="0"/>
  </sheetViews>
  <sheetFormatPr defaultRowHeight="16.5" x14ac:dyDescent="0.3"/>
  <cols>
    <col min="2" max="3" width="11.125" bestFit="1" customWidth="1"/>
  </cols>
  <sheetData>
    <row r="1" spans="1:3" x14ac:dyDescent="0.3">
      <c r="A1" s="26" t="s">
        <v>19</v>
      </c>
    </row>
    <row r="2" spans="1:3" x14ac:dyDescent="0.3">
      <c r="A2" s="7" t="s">
        <v>68</v>
      </c>
      <c r="B2" s="7" t="s">
        <v>69</v>
      </c>
      <c r="C2" s="27" t="s">
        <v>70</v>
      </c>
    </row>
    <row r="3" spans="1:3" x14ac:dyDescent="0.3">
      <c r="A3" s="7" t="s">
        <v>71</v>
      </c>
      <c r="B3" s="28">
        <v>45721</v>
      </c>
      <c r="C3" s="28">
        <f>IF(WEEKDAY(B3+10,2)=6,B3+12,IF(WEEKDAY(B3+10,2)=7,B3+11,B3+10))</f>
        <v>45733</v>
      </c>
    </row>
    <row r="4" spans="1:3" x14ac:dyDescent="0.3">
      <c r="A4" s="7" t="s">
        <v>72</v>
      </c>
      <c r="B4" s="28">
        <v>45748</v>
      </c>
      <c r="C4" s="28">
        <f t="shared" ref="C4:C7" si="0">IF(WEEKDAY(B4+10,2)=6,B4+12,IF(WEEKDAY(B4+10,2)=7,B4+11,B4+10))</f>
        <v>45758</v>
      </c>
    </row>
    <row r="5" spans="1:3" x14ac:dyDescent="0.3">
      <c r="A5" s="7" t="s">
        <v>73</v>
      </c>
      <c r="B5" s="28">
        <v>45757</v>
      </c>
      <c r="C5" s="28">
        <f t="shared" si="0"/>
        <v>45768</v>
      </c>
    </row>
    <row r="6" spans="1:3" x14ac:dyDescent="0.3">
      <c r="A6" s="7" t="s">
        <v>74</v>
      </c>
      <c r="B6" s="28">
        <v>45772</v>
      </c>
      <c r="C6" s="28">
        <f t="shared" si="0"/>
        <v>45782</v>
      </c>
    </row>
    <row r="7" spans="1:3" x14ac:dyDescent="0.3">
      <c r="A7" s="7" t="s">
        <v>75</v>
      </c>
      <c r="B7" s="28">
        <v>45780</v>
      </c>
      <c r="C7" s="28">
        <f t="shared" si="0"/>
        <v>45790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0C78A-333E-4B8A-A404-4A2C9114D7B5}">
  <dimension ref="A1:F9"/>
  <sheetViews>
    <sheetView workbookViewId="0"/>
  </sheetViews>
  <sheetFormatPr defaultRowHeight="16.5" x14ac:dyDescent="0.3"/>
  <cols>
    <col min="3" max="3" width="21.75" bestFit="1" customWidth="1"/>
    <col min="4" max="4" width="1.625" customWidth="1"/>
    <col min="6" max="6" width="13" bestFit="1" customWidth="1"/>
  </cols>
  <sheetData>
    <row r="1" spans="1:6" x14ac:dyDescent="0.3">
      <c r="A1" s="1" t="s">
        <v>19</v>
      </c>
      <c r="B1" s="2" t="s">
        <v>0</v>
      </c>
      <c r="C1" s="3"/>
      <c r="D1" s="4"/>
      <c r="E1" t="s">
        <v>1</v>
      </c>
    </row>
    <row r="2" spans="1:6" x14ac:dyDescent="0.3">
      <c r="A2" s="5" t="s">
        <v>2</v>
      </c>
      <c r="B2" s="5" t="s">
        <v>3</v>
      </c>
      <c r="C2" s="6" t="s">
        <v>4</v>
      </c>
      <c r="E2" s="7" t="s">
        <v>5</v>
      </c>
      <c r="F2" s="7" t="s">
        <v>4</v>
      </c>
    </row>
    <row r="3" spans="1:6" x14ac:dyDescent="0.3">
      <c r="A3" s="5">
        <v>2411012</v>
      </c>
      <c r="B3" s="5" t="s">
        <v>6</v>
      </c>
      <c r="C3" s="8" t="str">
        <f>LEFT(A3,2)&amp;"학번 "&amp;VLOOKUP(MID(A3,3,2),$E$3:$F$5,2,0)</f>
        <v>24학번 AI융합</v>
      </c>
      <c r="E3" s="9" t="s">
        <v>7</v>
      </c>
      <c r="F3" s="7" t="s">
        <v>8</v>
      </c>
    </row>
    <row r="4" spans="1:6" x14ac:dyDescent="0.3">
      <c r="A4" s="5">
        <v>2522013</v>
      </c>
      <c r="B4" s="5" t="s">
        <v>9</v>
      </c>
      <c r="C4" s="8" t="str">
        <f t="shared" ref="C4:C9" si="0">LEFT(A4,2)&amp;"학번 "&amp;VLOOKUP(MID(A4,3,2),$E$3:$F$5,2,0)</f>
        <v>25학번 소프트웨어</v>
      </c>
      <c r="E4" s="9" t="s">
        <v>10</v>
      </c>
      <c r="F4" s="7" t="s">
        <v>11</v>
      </c>
    </row>
    <row r="5" spans="1:6" x14ac:dyDescent="0.3">
      <c r="A5" s="5">
        <v>2433015</v>
      </c>
      <c r="B5" s="5" t="s">
        <v>12</v>
      </c>
      <c r="C5" s="8" t="str">
        <f t="shared" si="0"/>
        <v>24학번 글로벌미디어</v>
      </c>
      <c r="E5" s="9" t="s">
        <v>13</v>
      </c>
      <c r="F5" s="7" t="s">
        <v>14</v>
      </c>
    </row>
    <row r="6" spans="1:6" x14ac:dyDescent="0.3">
      <c r="A6" s="5">
        <v>2511016</v>
      </c>
      <c r="B6" s="5" t="s">
        <v>15</v>
      </c>
      <c r="C6" s="8" t="str">
        <f t="shared" si="0"/>
        <v>25학번 AI융합</v>
      </c>
    </row>
    <row r="7" spans="1:6" x14ac:dyDescent="0.3">
      <c r="A7" s="5">
        <v>2422019</v>
      </c>
      <c r="B7" s="5" t="s">
        <v>16</v>
      </c>
      <c r="C7" s="8" t="str">
        <f t="shared" si="0"/>
        <v>24학번 소프트웨어</v>
      </c>
    </row>
    <row r="8" spans="1:6" x14ac:dyDescent="0.3">
      <c r="A8" s="5">
        <v>2533018</v>
      </c>
      <c r="B8" s="5" t="s">
        <v>17</v>
      </c>
      <c r="C8" s="8" t="str">
        <f t="shared" si="0"/>
        <v>25학번 글로벌미디어</v>
      </c>
    </row>
    <row r="9" spans="1:6" x14ac:dyDescent="0.3">
      <c r="A9" s="5">
        <v>2422017</v>
      </c>
      <c r="B9" s="5" t="s">
        <v>18</v>
      </c>
      <c r="C9" s="8" t="str">
        <f t="shared" si="0"/>
        <v>24학번 소프트웨어</v>
      </c>
    </row>
  </sheetData>
  <phoneticPr fontId="3" type="noConversion"/>
  <pageMargins left="0.7" right="0.7" top="0.75" bottom="0.75" header="0.3" footer="0.3"/>
  <ignoredErrors>
    <ignoredError sqref="E3:E5" numberStoredAsText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40592-E061-4671-87C5-954CB3E8C35F}">
  <dimension ref="A1:C9"/>
  <sheetViews>
    <sheetView workbookViewId="0"/>
  </sheetViews>
  <sheetFormatPr defaultRowHeight="16.5" x14ac:dyDescent="0.3"/>
  <cols>
    <col min="2" max="2" width="11.125" bestFit="1" customWidth="1"/>
  </cols>
  <sheetData>
    <row r="1" spans="1:3" x14ac:dyDescent="0.3">
      <c r="A1" s="30" t="s">
        <v>19</v>
      </c>
    </row>
    <row r="2" spans="1:3" x14ac:dyDescent="0.3">
      <c r="A2" s="7" t="s">
        <v>85</v>
      </c>
      <c r="B2" s="7" t="s">
        <v>86</v>
      </c>
      <c r="C2" s="31" t="s">
        <v>87</v>
      </c>
    </row>
    <row r="3" spans="1:3" x14ac:dyDescent="0.3">
      <c r="A3" s="7" t="s">
        <v>88</v>
      </c>
      <c r="B3" s="28">
        <v>45780</v>
      </c>
      <c r="C3" s="7" t="str">
        <f>IF(OR(MONTH(B3)=5,MONTH(B3)=10),"발송","")</f>
        <v>발송</v>
      </c>
    </row>
    <row r="4" spans="1:3" x14ac:dyDescent="0.3">
      <c r="A4" s="7" t="s">
        <v>89</v>
      </c>
      <c r="B4" s="28">
        <v>45845</v>
      </c>
      <c r="C4" s="7" t="str">
        <f t="shared" ref="C4:C9" si="0">IF(OR(MONTH(B4)=5,MONTH(B4)=10),"발송","")</f>
        <v/>
      </c>
    </row>
    <row r="5" spans="1:3" x14ac:dyDescent="0.3">
      <c r="A5" s="7" t="s">
        <v>90</v>
      </c>
      <c r="B5" s="28">
        <v>45940</v>
      </c>
      <c r="C5" s="7" t="str">
        <f t="shared" si="0"/>
        <v>발송</v>
      </c>
    </row>
    <row r="6" spans="1:3" x14ac:dyDescent="0.3">
      <c r="A6" s="7" t="s">
        <v>91</v>
      </c>
      <c r="B6" s="28">
        <v>45972</v>
      </c>
      <c r="C6" s="7" t="str">
        <f t="shared" si="0"/>
        <v/>
      </c>
    </row>
    <row r="7" spans="1:3" x14ac:dyDescent="0.3">
      <c r="A7" s="7" t="s">
        <v>92</v>
      </c>
      <c r="B7" s="28">
        <v>45992</v>
      </c>
      <c r="C7" s="7" t="str">
        <f t="shared" si="0"/>
        <v/>
      </c>
    </row>
    <row r="8" spans="1:3" x14ac:dyDescent="0.3">
      <c r="A8" s="7" t="s">
        <v>93</v>
      </c>
      <c r="B8" s="28">
        <v>45787</v>
      </c>
      <c r="C8" s="7" t="str">
        <f t="shared" si="0"/>
        <v>발송</v>
      </c>
    </row>
    <row r="9" spans="1:3" x14ac:dyDescent="0.3">
      <c r="A9" s="7" t="s">
        <v>94</v>
      </c>
      <c r="B9" s="28">
        <v>45931</v>
      </c>
      <c r="C9" s="7" t="str">
        <f t="shared" si="0"/>
        <v>발송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sumif</vt:lpstr>
      <vt:lpstr>DMAX</vt:lpstr>
      <vt:lpstr>AVERAGE</vt:lpstr>
      <vt:lpstr>RANK</vt:lpstr>
      <vt:lpstr>MODE</vt:lpstr>
      <vt:lpstr>HLOOKUP</vt:lpstr>
      <vt:lpstr>MATCH</vt:lpstr>
      <vt:lpstr>HOUR</vt:lpstr>
      <vt:lpstr>WEEKDAY</vt:lpstr>
      <vt:lpstr>LEFT,MID</vt:lpstr>
      <vt:lpstr>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2024-07-16T07:55:59Z</dcterms:created>
  <dcterms:modified xsi:type="dcterms:W3CDTF">2026-07-14T11:22:09Z</dcterms:modified>
</cp:coreProperties>
</file>